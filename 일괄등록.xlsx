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work\chogajip_reservation\"/>
    </mc:Choice>
  </mc:AlternateContent>
  <bookViews>
    <workbookView xWindow="0" yWindow="0" windowWidth="25600" windowHeight="12310" activeTab="1"/>
  </bookViews>
  <sheets>
    <sheet name="초가짚_일괄등록" sheetId="1" r:id="rId1"/>
    <sheet name="초가짚_계산서 RAW 데이터" sheetId="4" r:id="rId2"/>
    <sheet name="양은이네_일괄등록" sheetId="2" r:id="rId3"/>
    <sheet name="실행방법" sheetId="3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A3" i="4" l="1"/>
  <c r="AB3" i="4"/>
  <c r="AC3" i="4"/>
  <c r="AE3" i="4"/>
  <c r="AF3" i="4"/>
  <c r="AG3" i="4"/>
  <c r="AH3" i="4"/>
  <c r="AA4" i="4"/>
  <c r="AB4" i="4"/>
  <c r="AC4" i="4"/>
  <c r="AE4" i="4"/>
  <c r="AF4" i="4"/>
  <c r="AG4" i="4"/>
  <c r="AH4" i="4"/>
  <c r="AA5" i="4"/>
  <c r="AB5" i="4"/>
  <c r="AC5" i="4"/>
  <c r="AE5" i="4"/>
  <c r="AF5" i="4"/>
  <c r="AG5" i="4"/>
  <c r="AH5" i="4"/>
  <c r="AA6" i="4"/>
  <c r="AB6" i="4"/>
  <c r="AC6" i="4"/>
  <c r="AE6" i="4"/>
  <c r="AF6" i="4"/>
  <c r="AG6" i="4"/>
  <c r="AH6" i="4"/>
  <c r="AA7" i="4"/>
  <c r="AB7" i="4"/>
  <c r="AC7" i="4"/>
  <c r="AE7" i="4"/>
  <c r="AF7" i="4"/>
  <c r="AG7" i="4"/>
  <c r="AH7" i="4"/>
  <c r="AA8" i="4"/>
  <c r="AB8" i="4"/>
  <c r="AC8" i="4"/>
  <c r="AE8" i="4"/>
  <c r="AF8" i="4"/>
  <c r="AG8" i="4"/>
  <c r="AH8" i="4"/>
  <c r="AH2" i="4"/>
  <c r="AG2" i="4"/>
  <c r="AF2" i="4"/>
  <c r="AA2" i="4"/>
  <c r="AC2" i="4"/>
  <c r="AE2" i="4"/>
  <c r="AB2" i="4"/>
  <c r="X6" i="4"/>
  <c r="X7" i="4"/>
</calcChain>
</file>

<file path=xl/comments1.xml><?xml version="1.0" encoding="utf-8"?>
<comments xmlns="http://schemas.openxmlformats.org/spreadsheetml/2006/main">
  <authors>
    <author>PC</author>
  </authors>
  <commentList>
    <comment ref="AC1" authorId="0" shapeId="0">
      <text>
        <r>
          <rPr>
            <b/>
            <sz val="9"/>
            <color indexed="81"/>
            <rFont val="돋움"/>
            <family val="3"/>
            <charset val="129"/>
          </rPr>
          <t>광고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세무사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케이티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세스코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음쓰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디스이즈</t>
        </r>
      </text>
    </comment>
  </commentList>
</comments>
</file>

<file path=xl/sharedStrings.xml><?xml version="1.0" encoding="utf-8"?>
<sst xmlns="http://schemas.openxmlformats.org/spreadsheetml/2006/main" count="282" uniqueCount="274">
  <si>
    <t xml:space="preserve"> 카드 </t>
  </si>
  <si>
    <t xml:space="preserve"> 현금 </t>
  </si>
  <si>
    <t xml:space="preserve"> 계좌 </t>
  </si>
  <si>
    <t xml:space="preserve"> 기타(상품권) </t>
  </si>
  <si>
    <t xml:space="preserve"> 야채(삼시) </t>
  </si>
  <si>
    <t xml:space="preserve"> 고기(한강) </t>
  </si>
  <si>
    <t xml:space="preserve"> 잡비 </t>
  </si>
  <si>
    <t xml:space="preserve"> 비고</t>
  </si>
  <si>
    <t>날짜 (yyyy-mm-dd)</t>
    <phoneticPr fontId="2" type="noConversion"/>
  </si>
  <si>
    <t xml:space="preserve"> 배민 </t>
  </si>
  <si>
    <t xml:space="preserve"> 요기요 </t>
  </si>
  <si>
    <t xml:space="preserve"> 쿠팡 </t>
  </si>
  <si>
    <t xml:space="preserve"> SPC(유통) </t>
    <phoneticPr fontId="2" type="noConversion"/>
  </si>
  <si>
    <t>초가짚</t>
    <phoneticPr fontId="2" type="noConversion"/>
  </si>
  <si>
    <t>양은이네</t>
    <phoneticPr fontId="2" type="noConversion"/>
  </si>
  <si>
    <t>(async function() {
    const raw = prompt("양은이네 엑셀 데이터를 붙여넣으세요 (제목행 제외)\n순서: 날짜|카드|현금|계좌|배민|요기요|쿠팡|야채|SPC|잡비|메모");
    if (!raw) return;
    const lines = raw.trim().split('\n');
    const bulkData = lines.map(line =&gt; {
        const cols = line.split(/\t|,/).map(c =&gt; c.trim());
        return {
            date: cols[0],
            card: cols[1], cash: cols[2], transfer: cols[3],
            baemin: cols[4], yogiyo: cols[5], coupang: cols[6],
            food: cols[7], meat: cols[8], etc: cols[9], note: cols[10]
        };
    });
    const res = await fetch('/api/accounting/bulk', {
        method: 'POST',
        headers: {'Content-Type': 'application/json'},
        body: JSON.stringify({ store: 'yangeun', bulkData })
    });
    const json = await res.json();
    alert(json.success ? `${json.count}일치 데이터 저장 성공!` : '실패');
    location.reload();
})();</t>
    <phoneticPr fontId="2" type="noConversion"/>
  </si>
  <si>
    <t>관리자 페이지에 접속합니다.</t>
  </si>
  <si>
    <r>
      <t>F12 키</t>
    </r>
    <r>
      <rPr>
        <sz val="11"/>
        <color theme="1"/>
        <rFont val="맑은 고딕"/>
        <family val="2"/>
        <charset val="129"/>
        <scheme val="minor"/>
      </rPr>
      <t>를 눌러 개발자 도구를 엽니다.</t>
    </r>
  </si>
  <si>
    <r>
      <t>Console (콘솔)</t>
    </r>
    <r>
      <rPr>
        <sz val="11"/>
        <color theme="1"/>
        <rFont val="맑은 고딕"/>
        <family val="2"/>
        <charset val="129"/>
        <scheme val="minor"/>
      </rPr>
      <t xml:space="preserve"> 탭을 클릭합니다.</t>
    </r>
  </si>
  <si>
    <r>
      <t xml:space="preserve">매장에 맞춰 아래 코드 중 하나를 복사해서 콘솔에 붙여넣고 </t>
    </r>
    <r>
      <rPr>
        <b/>
        <sz val="11"/>
        <color theme="1"/>
        <rFont val="맑은 고딕"/>
        <family val="3"/>
        <charset val="129"/>
        <scheme val="minor"/>
      </rPr>
      <t>엔터</t>
    </r>
    <r>
      <rPr>
        <sz val="11"/>
        <color theme="1"/>
        <rFont val="맑은 고딕"/>
        <family val="2"/>
        <charset val="129"/>
        <scheme val="minor"/>
      </rPr>
      <t>를 칩니다.</t>
    </r>
  </si>
  <si>
    <r>
      <t>입력창(</t>
    </r>
    <r>
      <rPr>
        <sz val="10"/>
        <color theme="1"/>
        <rFont val="Arial Unicode MS"/>
        <family val="3"/>
        <charset val="129"/>
      </rPr>
      <t>prompt</t>
    </r>
    <r>
      <rPr>
        <sz val="11"/>
        <color theme="1"/>
        <rFont val="맑은 고딕"/>
        <family val="2"/>
        <charset val="129"/>
        <scheme val="minor"/>
      </rPr>
      <t xml:space="preserve">)이 뜨면, </t>
    </r>
    <r>
      <rPr>
        <b/>
        <sz val="11"/>
        <color theme="1"/>
        <rFont val="맑은 고딕"/>
        <family val="3"/>
        <charset val="129"/>
        <scheme val="minor"/>
      </rPr>
      <t>엑셀에서 데이터 영역(제목 빼고 내용만)을 드래그해서 복사(Ctrl+C)한 뒤, 입력창에 붙여넣기(Ctrl+V)</t>
    </r>
    <r>
      <rPr>
        <sz val="11"/>
        <color theme="1"/>
        <rFont val="맑은 고딕"/>
        <family val="2"/>
        <charset val="129"/>
        <scheme val="minor"/>
      </rPr>
      <t xml:space="preserve"> 하세요.</t>
    </r>
  </si>
  <si>
    <t>(async function() {
    const raw = prompt("초가짚 엑셀 데이터를 붙여넣으세요 (제목행 제외)\n순서: 날짜|카드|현금|계좌|상품권|야채|고기|잡비|메모");
    if (!raw) return;
    const lines = raw.trim().split('\n');
    const bulkData = lines.map(line =&gt; {
        // 탭(엑셀) 또는 콤마로 분리
        const cols = line.split(/\t|,/).map(c =&gt; c.trim()); 
        return {
            date: cols[0],
            card: cols[1], cash: cols[2], transfer: cols[3], gift: cols[4],
            food: cols[5], meat: cols[6], etc: cols[7], note: cols[8]
        };
    });
    const res = await fetch('/api/accounting/bulk', {
        method: 'POST',
        headers: {'Content-Type': 'application/json'},
        body: JSON.stringify({ store: 'chogazip', bulkData })
    });
    const json = await res.json();
    alert(json.success ? `${json.count}일치 데이터 저장 성공!` : '실패');
    location.reload();
})();</t>
    <phoneticPr fontId="2" type="noConversion"/>
  </si>
  <si>
    <t>2025-12-10(수)</t>
  </si>
  <si>
    <t>2025-12-09(화)</t>
  </si>
  <si>
    <t>2025-12-08(월)</t>
  </si>
  <si>
    <t>2025-12-07(일)</t>
  </si>
  <si>
    <t>2025-12-06(토)</t>
  </si>
  <si>
    <t>2025-12-05(금)</t>
  </si>
  <si>
    <t>2025-12-04(목)</t>
  </si>
  <si>
    <t>2025-12-03(수)</t>
  </si>
  <si>
    <t>2025-12-02(화)</t>
  </si>
  <si>
    <t>2025-12-01(월)</t>
  </si>
  <si>
    <t>2025-11-30(일)</t>
  </si>
  <si>
    <t>2025-11-29(토)</t>
  </si>
  <si>
    <t>2025-11-28(금)</t>
  </si>
  <si>
    <t>2025-11-27(목)</t>
  </si>
  <si>
    <t>2025-11-26(수)</t>
  </si>
  <si>
    <t>2025-11-25(화)</t>
  </si>
  <si>
    <t>2025-11-24(월)</t>
  </si>
  <si>
    <t>2025-11-23(일)</t>
  </si>
  <si>
    <t>2025-11-22(토)</t>
  </si>
  <si>
    <t>2025-11-21(금)</t>
  </si>
  <si>
    <t>2025-11-20(목)</t>
  </si>
  <si>
    <t>2025-11-19(수)</t>
  </si>
  <si>
    <t>2025-11-18(화)</t>
  </si>
  <si>
    <t>2025-11-17(월)</t>
  </si>
  <si>
    <t>2025-11-16(일)</t>
  </si>
  <si>
    <t>2025-11-15(토)</t>
  </si>
  <si>
    <t>2025-11-14(금)</t>
  </si>
  <si>
    <t>2025-11-13(목)</t>
  </si>
  <si>
    <t>2025-11-12(수)</t>
  </si>
  <si>
    <t>2025-11-11(화)</t>
  </si>
  <si>
    <t>2025-11-10(월)</t>
  </si>
  <si>
    <t>2025-11-09(일)</t>
  </si>
  <si>
    <t>2025-11-08(토)</t>
  </si>
  <si>
    <t>2025-11-07(금)</t>
  </si>
  <si>
    <t>2025-11-06(목)</t>
  </si>
  <si>
    <t>2025-11-05(수)</t>
  </si>
  <si>
    <t>2025-11-04(화)</t>
  </si>
  <si>
    <t>2025-11-03(월)</t>
  </si>
  <si>
    <t>2025-11-02(일)</t>
  </si>
  <si>
    <t>2025-11-01(토)</t>
  </si>
  <si>
    <t>2025-10-31(금)</t>
  </si>
  <si>
    <t>2025-10-30(목)</t>
  </si>
  <si>
    <t>2025-10-29(수)</t>
  </si>
  <si>
    <t>2025-10-28(화)</t>
  </si>
  <si>
    <t>2025-10-27(월)</t>
  </si>
  <si>
    <t>2025-10-26(일)</t>
  </si>
  <si>
    <t>2025-10-25(토)</t>
  </si>
  <si>
    <t>2025-10-24(금)</t>
  </si>
  <si>
    <t>2025-10-23(목)</t>
  </si>
  <si>
    <t>2025-10-22(수)</t>
  </si>
  <si>
    <t>2025-10-21(화)</t>
  </si>
  <si>
    <t>2025-10-20(월)</t>
  </si>
  <si>
    <t>2025-10-19(일)</t>
  </si>
  <si>
    <t>2025-10-18(토)</t>
  </si>
  <si>
    <t>2025-10-17(금)</t>
  </si>
  <si>
    <t>2025-10-16(목)</t>
  </si>
  <si>
    <t>2025-10-15(수)</t>
  </si>
  <si>
    <t>2025-10-14(화)</t>
  </si>
  <si>
    <t>2025-10-13(월)</t>
  </si>
  <si>
    <t>2025-10-12(일)</t>
  </si>
  <si>
    <t>2025-10-11(토)</t>
  </si>
  <si>
    <t>2025-10-10(금)</t>
  </si>
  <si>
    <t>2025-10-09(목)</t>
  </si>
  <si>
    <t>2025-10-08(수)</t>
  </si>
  <si>
    <t>2025-10-07(화)</t>
  </si>
  <si>
    <t>2025-10-04(토)</t>
  </si>
  <si>
    <t>2025-10-03(금)</t>
  </si>
  <si>
    <t>2025-10-02(목)</t>
  </si>
  <si>
    <t>2025-10-01(수)</t>
  </si>
  <si>
    <t>2025-09-30(화)</t>
  </si>
  <si>
    <t>2025-09-29(월)</t>
  </si>
  <si>
    <t>2025-09-28(일)</t>
  </si>
  <si>
    <t>2025-09-27(토)</t>
  </si>
  <si>
    <t>2025-09-26(금)</t>
  </si>
  <si>
    <t>2025-09-25(목)</t>
  </si>
  <si>
    <t>2025-09-24(수)</t>
  </si>
  <si>
    <t>2025-09-23(화)</t>
  </si>
  <si>
    <t>2025-09-22(월)</t>
  </si>
  <si>
    <t>2025-09-21(일)</t>
  </si>
  <si>
    <t>2025-09-20(토)</t>
  </si>
  <si>
    <t>2025-09-19(금)</t>
  </si>
  <si>
    <t>2025-09-18(목)</t>
  </si>
  <si>
    <t>2025-09-17(수)</t>
  </si>
  <si>
    <t>2025-09-16(화)</t>
  </si>
  <si>
    <t>2025-09-15(월)</t>
  </si>
  <si>
    <t>2025-09-14(일)</t>
  </si>
  <si>
    <t>2025-09-13(토)</t>
  </si>
  <si>
    <t>2025-09-12(금)</t>
  </si>
  <si>
    <t>2025-09-11(목)</t>
  </si>
  <si>
    <t>2025-09-10(수)</t>
  </si>
  <si>
    <t>2025-09-09(화)</t>
  </si>
  <si>
    <t>2025-09-08(월)</t>
  </si>
  <si>
    <t>2025-09-07(일)</t>
  </si>
  <si>
    <t>2025-09-06(토)</t>
  </si>
  <si>
    <t>2025-09-05(금)</t>
  </si>
  <si>
    <t>2025-09-04(목)</t>
  </si>
  <si>
    <t>2025-09-03(수)</t>
  </si>
  <si>
    <t>2025-09-02(화)</t>
  </si>
  <si>
    <t>2025-09-01(월)</t>
  </si>
  <si>
    <t>2025-08-31(일)</t>
  </si>
  <si>
    <t>2025-08-30(토)</t>
  </si>
  <si>
    <t>2025-08-29(금)</t>
  </si>
  <si>
    <t>2025-08-28(목)</t>
  </si>
  <si>
    <t>2025-08-27(수)</t>
  </si>
  <si>
    <t>2025-08-26(화)</t>
  </si>
  <si>
    <t>2025-08-25(월)</t>
  </si>
  <si>
    <t>2025-08-24(일)</t>
  </si>
  <si>
    <t>2025-08-23(토)</t>
  </si>
  <si>
    <t>2025-08-22(금)</t>
  </si>
  <si>
    <t>2025-08-21(목)</t>
  </si>
  <si>
    <t>2025-08-20(수)</t>
  </si>
  <si>
    <t>2025-08-19(화)</t>
  </si>
  <si>
    <t>2025-08-18(월)</t>
  </si>
  <si>
    <t>2025-08-17(일)</t>
  </si>
  <si>
    <t>2025-08-16(토)</t>
  </si>
  <si>
    <t>2025-08-15(금)</t>
  </si>
  <si>
    <t>2025-08-14(목)</t>
  </si>
  <si>
    <t>2025-08-13(수)</t>
  </si>
  <si>
    <t>2025-08-12(화)</t>
  </si>
  <si>
    <t>2025-08-11(월)</t>
  </si>
  <si>
    <t>2025-08-10(일)</t>
  </si>
  <si>
    <t>2025-08-09(토)</t>
  </si>
  <si>
    <t>2025-08-08(금)</t>
  </si>
  <si>
    <t>2025-08-07(목)</t>
  </si>
  <si>
    <t>2025-08-06(수)</t>
  </si>
  <si>
    <t>2025-08-05(화)</t>
  </si>
  <si>
    <t>2025-08-04(월)</t>
  </si>
  <si>
    <t>2025-08-03(일)</t>
  </si>
  <si>
    <t>2025-08-02(토)</t>
  </si>
  <si>
    <t>2025-08-01(금)</t>
  </si>
  <si>
    <t>2025-07-31(목)</t>
  </si>
  <si>
    <t>2025-07-30(수)</t>
  </si>
  <si>
    <t>2025-07-29(화)</t>
  </si>
  <si>
    <t>2025-07-28(월)</t>
  </si>
  <si>
    <t>2025-07-27(일)</t>
  </si>
  <si>
    <t>2025-07-26(토)</t>
  </si>
  <si>
    <t>2025-07-25(금)</t>
  </si>
  <si>
    <t>2025-07-24(목)</t>
  </si>
  <si>
    <t>2025-07-23(수)</t>
  </si>
  <si>
    <t>2025-07-22(화)</t>
  </si>
  <si>
    <t>2025-07-21(월)</t>
  </si>
  <si>
    <t>2025-07-20(일)</t>
  </si>
  <si>
    <t>2025-07-19(토)</t>
  </si>
  <si>
    <t>2025-07-18(금)</t>
  </si>
  <si>
    <t>2025-07-17(목)</t>
  </si>
  <si>
    <t>2025-07-16(수)</t>
  </si>
  <si>
    <t>2025-07-15(화)</t>
  </si>
  <si>
    <t>2025-07-14(월)</t>
  </si>
  <si>
    <t>2025-07-13(일)</t>
  </si>
  <si>
    <t>2025-07-12(토)</t>
  </si>
  <si>
    <t>2025-07-11(금)</t>
  </si>
  <si>
    <t>2025-07-10(목)</t>
  </si>
  <si>
    <t>2025-07-09(수)</t>
  </si>
  <si>
    <t>2025-07-08(화)</t>
  </si>
  <si>
    <t>2025-07-07(월)</t>
  </si>
  <si>
    <t>2025-07-06(일)</t>
  </si>
  <si>
    <t>2025-07-05(토)</t>
  </si>
  <si>
    <t>2025-07-04(금)</t>
  </si>
  <si>
    <t>2025-07-03(목)</t>
  </si>
  <si>
    <t>2025-07-02(수)</t>
  </si>
  <si>
    <t>2025-07-01(화)</t>
  </si>
  <si>
    <t>2025-06-30(월)</t>
  </si>
  <si>
    <t>2025-06-29(일)</t>
  </si>
  <si>
    <t>2025-06-28(토)</t>
  </si>
  <si>
    <t>2025-06-27(금)</t>
  </si>
  <si>
    <t>2025-06-26(목)</t>
  </si>
  <si>
    <t>2025-06-25(수)</t>
  </si>
  <si>
    <t>2025-06-24(화)</t>
  </si>
  <si>
    <t>2025-06-23(월)</t>
  </si>
  <si>
    <t>2025-06-22(일)</t>
  </si>
  <si>
    <t>2025-06-21(토)</t>
  </si>
  <si>
    <t>2025-06-20(금)</t>
  </si>
  <si>
    <t>2025-06-19(목)</t>
  </si>
  <si>
    <t>2025-06-18(수)</t>
  </si>
  <si>
    <t>2025-06-17(화)</t>
  </si>
  <si>
    <t>2025-06-16(월)</t>
  </si>
  <si>
    <t>2025-06-15(일)</t>
  </si>
  <si>
    <t>2025-06-14(토)</t>
  </si>
  <si>
    <t>2025-06-13(금)</t>
  </si>
  <si>
    <t>2025-06-12(목)</t>
  </si>
  <si>
    <t>2025-06-11(수)</t>
  </si>
  <si>
    <t>2025-06-10(화)</t>
  </si>
  <si>
    <t>2025-06-09(월)</t>
  </si>
  <si>
    <t>2025-06-08(일)</t>
  </si>
  <si>
    <t>2025-06-07(토)</t>
  </si>
  <si>
    <t>2025-06-06(금)</t>
  </si>
  <si>
    <t>2025-06-05(목)</t>
  </si>
  <si>
    <t>2025-06-04(수)</t>
  </si>
  <si>
    <t>2025-06-03(화)</t>
  </si>
  <si>
    <t>2025-06-02(월)</t>
  </si>
  <si>
    <t>2025-06-01(일)</t>
  </si>
  <si>
    <t>2025-05-31(토)</t>
  </si>
  <si>
    <t>2025-05-30(금)</t>
  </si>
  <si>
    <t>2025-05-29(목)</t>
  </si>
  <si>
    <t>2025-05-28(수)</t>
  </si>
  <si>
    <t>2025-05-27(화)</t>
  </si>
  <si>
    <t>2025-05-26(월)</t>
  </si>
  <si>
    <t>2025-05-25(일)</t>
  </si>
  <si>
    <t>2025-05-24(토)</t>
  </si>
  <si>
    <t>2025-05-23(금)</t>
  </si>
  <si>
    <t>2025-05-22(목)</t>
  </si>
  <si>
    <t>2025-05-21(수)</t>
  </si>
  <si>
    <t>2025-05-20(화)</t>
  </si>
  <si>
    <t>2025-05-19(월)</t>
  </si>
  <si>
    <t>2025-05-18(일)</t>
  </si>
  <si>
    <t>2025-05-17(토)</t>
  </si>
  <si>
    <t>2025-05-16(금)</t>
  </si>
  <si>
    <t>2025-05-15(목)</t>
  </si>
  <si>
    <t>2025-05-14(수)</t>
  </si>
  <si>
    <t>2025-05-13(화)</t>
  </si>
  <si>
    <t>2025-05-12(월)</t>
  </si>
  <si>
    <t>2025-05-11(일)</t>
  </si>
  <si>
    <t>2025-05-10(토)</t>
  </si>
  <si>
    <t>2025-05-09(금)</t>
  </si>
  <si>
    <t>2025-05-08(목)</t>
  </si>
  <si>
    <t>2025-05-07(수)</t>
  </si>
  <si>
    <t>2025-05-06(화)</t>
  </si>
  <si>
    <t>2025-05-05(월)</t>
  </si>
  <si>
    <t>2025-05-04(일)</t>
  </si>
  <si>
    <t>2025-05-03(토)</t>
  </si>
  <si>
    <t>2025-05-02(금)</t>
  </si>
  <si>
    <t>2025-05-01(목)</t>
  </si>
  <si>
    <t>월</t>
    <phoneticPr fontId="2" type="noConversion"/>
  </si>
  <si>
    <t>삼시세끼</t>
    <phoneticPr fontId="2" type="noConversion"/>
  </si>
  <si>
    <t>임대료+관리비</t>
    <phoneticPr fontId="2" type="noConversion"/>
  </si>
  <si>
    <t>네이버광고</t>
    <phoneticPr fontId="2" type="noConversion"/>
  </si>
  <si>
    <t>대성주류</t>
    <phoneticPr fontId="2" type="noConversion"/>
  </si>
  <si>
    <t>롯데칠성</t>
    <phoneticPr fontId="2" type="noConversion"/>
  </si>
  <si>
    <t>더싼유통</t>
    <phoneticPr fontId="2" type="noConversion"/>
  </si>
  <si>
    <t>고센</t>
    <phoneticPr fontId="2" type="noConversion"/>
  </si>
  <si>
    <t>코카콜라</t>
    <phoneticPr fontId="2" type="noConversion"/>
  </si>
  <si>
    <t>삼시세끼</t>
    <phoneticPr fontId="2" type="noConversion"/>
  </si>
  <si>
    <t>케이티텔레캅</t>
    <phoneticPr fontId="2" type="noConversion"/>
  </si>
  <si>
    <t>세무사</t>
    <phoneticPr fontId="2" type="noConversion"/>
  </si>
  <si>
    <t>느린유통</t>
    <phoneticPr fontId="2" type="noConversion"/>
  </si>
  <si>
    <t>케이티</t>
    <phoneticPr fontId="2" type="noConversion"/>
  </si>
  <si>
    <t>기찬육수</t>
    <phoneticPr fontId="2" type="noConversion"/>
  </si>
  <si>
    <t>가스</t>
    <phoneticPr fontId="2" type="noConversion"/>
  </si>
  <si>
    <t>수도요금</t>
    <phoneticPr fontId="2" type="noConversion"/>
  </si>
  <si>
    <t>삼학도수산</t>
    <phoneticPr fontId="2" type="noConversion"/>
  </si>
  <si>
    <t>믿음식품</t>
    <phoneticPr fontId="2" type="noConversion"/>
  </si>
  <si>
    <t>한강유통</t>
    <phoneticPr fontId="2" type="noConversion"/>
  </si>
  <si>
    <t>디스이즈</t>
    <phoneticPr fontId="2" type="noConversion"/>
  </si>
  <si>
    <t>음쓰</t>
    <phoneticPr fontId="2" type="noConversion"/>
  </si>
  <si>
    <t>세스코</t>
    <phoneticPr fontId="2" type="noConversion"/>
  </si>
  <si>
    <t>삼시세끼</t>
    <phoneticPr fontId="2" type="noConversion"/>
  </si>
  <si>
    <t>한강유통</t>
    <phoneticPr fontId="2" type="noConversion"/>
  </si>
  <si>
    <t>잡비</t>
    <phoneticPr fontId="2" type="noConversion"/>
  </si>
  <si>
    <t>임대료</t>
    <phoneticPr fontId="2" type="noConversion"/>
  </si>
  <si>
    <t>가스+수도</t>
    <phoneticPr fontId="2" type="noConversion"/>
  </si>
  <si>
    <t>주류</t>
    <phoneticPr fontId="2" type="noConversion"/>
  </si>
  <si>
    <t>음료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</si>
</sst>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81" formatCode="yyyy&quot;년&quot;\ m&quot;월&quot;;@"/>
    <numFmt numFmtId="182" formatCode="###,##0"/>
  </numFmts>
  <fonts count="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Arial Unicode MS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applyAlignment="1">
      <alignment vertical="center" wrapText="1"/>
    </xf>
    <xf numFmtId="0" fontId="4" fillId="0" borderId="0" xfId="0" applyFont="1">
      <alignment vertical="center"/>
    </xf>
    <xf numFmtId="181" fontId="0" fillId="0" borderId="0" xfId="0" applyNumberFormat="1">
      <alignment vertical="center"/>
    </xf>
    <xf numFmtId="182" fontId="0" fillId="0" borderId="1" xfId="0" applyNumberFormat="1" applyBorder="1" applyAlignment="1">
      <alignment horizontal="right" vertical="center"/>
    </xf>
    <xf numFmtId="41" fontId="0" fillId="0" borderId="0" xfId="1" applyFont="1">
      <alignment vertical="center"/>
    </xf>
    <xf numFmtId="41" fontId="0" fillId="0" borderId="1" xfId="1" applyFont="1" applyBorder="1" applyAlignment="1">
      <alignment horizontal="right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3"/>
  <sheetViews>
    <sheetView workbookViewId="0">
      <selection activeCell="G1" sqref="G1"/>
    </sheetView>
  </sheetViews>
  <sheetFormatPr defaultRowHeight="17" x14ac:dyDescent="0.45"/>
  <cols>
    <col min="1" max="1" width="24.58203125" style="1" customWidth="1"/>
    <col min="2" max="2" width="15.25" customWidth="1"/>
    <col min="3" max="3" width="7.1640625" bestFit="1" customWidth="1"/>
    <col min="4" max="4" width="6.1640625" bestFit="1" customWidth="1"/>
    <col min="5" max="5" width="13.08203125" bestFit="1" customWidth="1"/>
    <col min="6" max="7" width="11.08203125" bestFit="1" customWidth="1"/>
    <col min="8" max="8" width="6.1640625" bestFit="1" customWidth="1"/>
    <col min="9" max="9" width="5.5" bestFit="1" customWidth="1"/>
  </cols>
  <sheetData>
    <row r="1" spans="1:9" x14ac:dyDescent="0.45">
      <c r="A1" s="1" t="s">
        <v>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45">
      <c r="A2" s="1" t="s">
        <v>22</v>
      </c>
      <c r="B2">
        <v>3038000</v>
      </c>
      <c r="C2">
        <v>0</v>
      </c>
    </row>
    <row r="3" spans="1:9" x14ac:dyDescent="0.45">
      <c r="A3" s="1" t="s">
        <v>23</v>
      </c>
      <c r="B3">
        <v>3170000</v>
      </c>
      <c r="C3">
        <v>0</v>
      </c>
    </row>
    <row r="4" spans="1:9" x14ac:dyDescent="0.45">
      <c r="A4" s="1" t="s">
        <v>24</v>
      </c>
      <c r="B4">
        <v>1350000</v>
      </c>
      <c r="C4">
        <v>102000</v>
      </c>
    </row>
    <row r="5" spans="1:9" x14ac:dyDescent="0.45">
      <c r="A5" s="1" t="s">
        <v>25</v>
      </c>
      <c r="B5">
        <v>1363320</v>
      </c>
      <c r="C5">
        <v>48680</v>
      </c>
    </row>
    <row r="6" spans="1:9" x14ac:dyDescent="0.45">
      <c r="A6" s="1" t="s">
        <v>26</v>
      </c>
      <c r="B6">
        <v>2136000</v>
      </c>
      <c r="C6">
        <v>104000</v>
      </c>
    </row>
    <row r="7" spans="1:9" x14ac:dyDescent="0.45">
      <c r="A7" s="1" t="s">
        <v>27</v>
      </c>
      <c r="B7">
        <v>2666000</v>
      </c>
      <c r="C7">
        <v>988000</v>
      </c>
    </row>
    <row r="8" spans="1:9" x14ac:dyDescent="0.45">
      <c r="A8" s="1" t="s">
        <v>28</v>
      </c>
      <c r="B8">
        <v>3526000</v>
      </c>
      <c r="C8">
        <v>259000</v>
      </c>
    </row>
    <row r="9" spans="1:9" x14ac:dyDescent="0.45">
      <c r="A9" s="1" t="s">
        <v>29</v>
      </c>
      <c r="B9">
        <v>1274000</v>
      </c>
      <c r="C9">
        <v>0</v>
      </c>
    </row>
    <row r="10" spans="1:9" x14ac:dyDescent="0.45">
      <c r="A10" s="1" t="s">
        <v>30</v>
      </c>
      <c r="B10">
        <v>2851000</v>
      </c>
      <c r="C10">
        <v>0</v>
      </c>
    </row>
    <row r="11" spans="1:9" x14ac:dyDescent="0.45">
      <c r="A11" s="1" t="s">
        <v>31</v>
      </c>
      <c r="B11">
        <v>1232330</v>
      </c>
      <c r="C11">
        <v>39000</v>
      </c>
    </row>
    <row r="12" spans="1:9" x14ac:dyDescent="0.45">
      <c r="A12" s="1" t="s">
        <v>32</v>
      </c>
      <c r="B12">
        <v>1517000</v>
      </c>
      <c r="C12">
        <v>126000</v>
      </c>
    </row>
    <row r="13" spans="1:9" x14ac:dyDescent="0.45">
      <c r="A13" s="1" t="s">
        <v>33</v>
      </c>
      <c r="B13">
        <v>1944000</v>
      </c>
      <c r="C13">
        <v>65000</v>
      </c>
    </row>
    <row r="14" spans="1:9" x14ac:dyDescent="0.45">
      <c r="A14" s="1" t="s">
        <v>34</v>
      </c>
      <c r="B14">
        <v>3590000</v>
      </c>
      <c r="C14">
        <v>114000</v>
      </c>
    </row>
    <row r="15" spans="1:9" x14ac:dyDescent="0.45">
      <c r="A15" s="1" t="s">
        <v>35</v>
      </c>
      <c r="B15">
        <v>2704000</v>
      </c>
      <c r="C15">
        <v>125000</v>
      </c>
    </row>
    <row r="16" spans="1:9" x14ac:dyDescent="0.45">
      <c r="A16" s="1" t="s">
        <v>36</v>
      </c>
      <c r="B16">
        <v>2367000</v>
      </c>
      <c r="C16">
        <v>0</v>
      </c>
    </row>
    <row r="17" spans="1:3" x14ac:dyDescent="0.45">
      <c r="A17" s="1" t="s">
        <v>37</v>
      </c>
      <c r="B17">
        <v>2528000</v>
      </c>
      <c r="C17">
        <v>35000</v>
      </c>
    </row>
    <row r="18" spans="1:3" x14ac:dyDescent="0.45">
      <c r="A18" s="1" t="s">
        <v>38</v>
      </c>
      <c r="B18">
        <v>3014000</v>
      </c>
      <c r="C18">
        <v>192000</v>
      </c>
    </row>
    <row r="19" spans="1:3" x14ac:dyDescent="0.45">
      <c r="A19" s="1" t="s">
        <v>39</v>
      </c>
      <c r="B19">
        <v>1385000</v>
      </c>
      <c r="C19">
        <v>292000</v>
      </c>
    </row>
    <row r="20" spans="1:3" x14ac:dyDescent="0.45">
      <c r="A20" s="1" t="s">
        <v>40</v>
      </c>
      <c r="B20">
        <v>1277000</v>
      </c>
      <c r="C20">
        <v>0</v>
      </c>
    </row>
    <row r="21" spans="1:3" x14ac:dyDescent="0.45">
      <c r="A21" s="1" t="s">
        <v>41</v>
      </c>
      <c r="B21">
        <v>2279000</v>
      </c>
      <c r="C21">
        <v>58000</v>
      </c>
    </row>
    <row r="22" spans="1:3" x14ac:dyDescent="0.45">
      <c r="A22" s="1" t="s">
        <v>42</v>
      </c>
      <c r="B22">
        <v>2005000</v>
      </c>
      <c r="C22">
        <v>824000</v>
      </c>
    </row>
    <row r="23" spans="1:3" x14ac:dyDescent="0.45">
      <c r="A23" s="1" t="s">
        <v>43</v>
      </c>
      <c r="B23">
        <v>1550000</v>
      </c>
      <c r="C23">
        <v>58000</v>
      </c>
    </row>
    <row r="24" spans="1:3" x14ac:dyDescent="0.45">
      <c r="A24" s="1" t="s">
        <v>44</v>
      </c>
      <c r="B24">
        <v>2048000</v>
      </c>
      <c r="C24">
        <v>0</v>
      </c>
    </row>
    <row r="25" spans="1:3" x14ac:dyDescent="0.45">
      <c r="A25" s="1" t="s">
        <v>45</v>
      </c>
      <c r="B25">
        <v>741000</v>
      </c>
      <c r="C25">
        <v>273000</v>
      </c>
    </row>
    <row r="26" spans="1:3" x14ac:dyDescent="0.45">
      <c r="A26" s="1" t="s">
        <v>46</v>
      </c>
      <c r="B26">
        <v>1389000</v>
      </c>
      <c r="C26">
        <v>219000</v>
      </c>
    </row>
    <row r="27" spans="1:3" x14ac:dyDescent="0.45">
      <c r="A27" s="1" t="s">
        <v>47</v>
      </c>
      <c r="B27">
        <v>2508000</v>
      </c>
      <c r="C27">
        <v>0</v>
      </c>
    </row>
    <row r="28" spans="1:3" x14ac:dyDescent="0.45">
      <c r="A28" s="1" t="s">
        <v>48</v>
      </c>
      <c r="B28">
        <v>3335000</v>
      </c>
      <c r="C28">
        <v>59000</v>
      </c>
    </row>
    <row r="29" spans="1:3" x14ac:dyDescent="0.45">
      <c r="A29" s="1" t="s">
        <v>49</v>
      </c>
      <c r="B29">
        <v>2561000</v>
      </c>
      <c r="C29">
        <v>174000</v>
      </c>
    </row>
    <row r="30" spans="1:3" x14ac:dyDescent="0.45">
      <c r="A30" s="1" t="s">
        <v>50</v>
      </c>
      <c r="B30">
        <v>1723000</v>
      </c>
      <c r="C30">
        <v>137000</v>
      </c>
    </row>
    <row r="31" spans="1:3" x14ac:dyDescent="0.45">
      <c r="A31" s="1" t="s">
        <v>51</v>
      </c>
      <c r="B31">
        <v>1090000</v>
      </c>
      <c r="C31">
        <v>0</v>
      </c>
    </row>
    <row r="32" spans="1:3" x14ac:dyDescent="0.45">
      <c r="A32" s="1" t="s">
        <v>52</v>
      </c>
      <c r="B32">
        <v>1247000</v>
      </c>
      <c r="C32">
        <v>5000</v>
      </c>
    </row>
    <row r="33" spans="1:3" x14ac:dyDescent="0.45">
      <c r="A33" s="1" t="s">
        <v>53</v>
      </c>
      <c r="B33">
        <v>1019000</v>
      </c>
      <c r="C33">
        <v>38000</v>
      </c>
    </row>
    <row r="34" spans="1:3" x14ac:dyDescent="0.45">
      <c r="A34" s="1" t="s">
        <v>54</v>
      </c>
      <c r="B34">
        <v>2203000</v>
      </c>
      <c r="C34">
        <v>60000</v>
      </c>
    </row>
    <row r="35" spans="1:3" x14ac:dyDescent="0.45">
      <c r="A35" s="1" t="s">
        <v>55</v>
      </c>
      <c r="B35">
        <v>1976000</v>
      </c>
      <c r="C35">
        <v>0</v>
      </c>
    </row>
    <row r="36" spans="1:3" x14ac:dyDescent="0.45">
      <c r="A36" s="1" t="s">
        <v>56</v>
      </c>
      <c r="B36">
        <v>3074000</v>
      </c>
      <c r="C36">
        <v>223000</v>
      </c>
    </row>
    <row r="37" spans="1:3" x14ac:dyDescent="0.45">
      <c r="A37" s="1" t="s">
        <v>57</v>
      </c>
      <c r="B37">
        <v>2217000</v>
      </c>
      <c r="C37">
        <v>0</v>
      </c>
    </row>
    <row r="38" spans="1:3" x14ac:dyDescent="0.45">
      <c r="A38" s="1" t="s">
        <v>58</v>
      </c>
      <c r="B38">
        <v>1010000</v>
      </c>
      <c r="C38">
        <v>35000</v>
      </c>
    </row>
    <row r="39" spans="1:3" x14ac:dyDescent="0.45">
      <c r="A39" s="1" t="s">
        <v>59</v>
      </c>
      <c r="B39">
        <v>1725000</v>
      </c>
      <c r="C39">
        <v>86000</v>
      </c>
    </row>
    <row r="40" spans="1:3" x14ac:dyDescent="0.45">
      <c r="A40" s="1" t="s">
        <v>60</v>
      </c>
      <c r="B40">
        <v>1581000</v>
      </c>
      <c r="C40">
        <v>55000</v>
      </c>
    </row>
    <row r="41" spans="1:3" x14ac:dyDescent="0.45">
      <c r="A41" s="1" t="s">
        <v>61</v>
      </c>
      <c r="B41">
        <v>2433000</v>
      </c>
      <c r="C41">
        <v>79000</v>
      </c>
    </row>
    <row r="42" spans="1:3" x14ac:dyDescent="0.45">
      <c r="A42" s="1" t="s">
        <v>62</v>
      </c>
      <c r="B42">
        <v>2071000</v>
      </c>
      <c r="C42">
        <v>133000</v>
      </c>
    </row>
    <row r="43" spans="1:3" x14ac:dyDescent="0.45">
      <c r="A43" s="1" t="s">
        <v>63</v>
      </c>
      <c r="B43">
        <v>2499000</v>
      </c>
      <c r="C43">
        <v>83000</v>
      </c>
    </row>
    <row r="44" spans="1:3" x14ac:dyDescent="0.45">
      <c r="A44" s="1" t="s">
        <v>64</v>
      </c>
      <c r="B44">
        <v>4237000</v>
      </c>
      <c r="C44">
        <v>0</v>
      </c>
    </row>
    <row r="45" spans="1:3" x14ac:dyDescent="0.45">
      <c r="A45" s="1" t="s">
        <v>65</v>
      </c>
      <c r="B45">
        <v>1005000</v>
      </c>
      <c r="C45">
        <v>0</v>
      </c>
    </row>
    <row r="46" spans="1:3" x14ac:dyDescent="0.45">
      <c r="A46" s="1" t="s">
        <v>66</v>
      </c>
      <c r="B46">
        <v>1673000</v>
      </c>
      <c r="C46">
        <v>150000</v>
      </c>
    </row>
    <row r="47" spans="1:3" x14ac:dyDescent="0.45">
      <c r="A47" s="1" t="s">
        <v>67</v>
      </c>
      <c r="B47">
        <v>1436000</v>
      </c>
      <c r="C47">
        <v>24000</v>
      </c>
    </row>
    <row r="48" spans="1:3" x14ac:dyDescent="0.45">
      <c r="A48" s="1" t="s">
        <v>68</v>
      </c>
      <c r="B48">
        <v>2829000</v>
      </c>
      <c r="C48">
        <v>0</v>
      </c>
    </row>
    <row r="49" spans="1:3" x14ac:dyDescent="0.45">
      <c r="A49" s="1" t="s">
        <v>69</v>
      </c>
      <c r="B49">
        <v>1843000</v>
      </c>
      <c r="C49">
        <v>108000</v>
      </c>
    </row>
    <row r="50" spans="1:3" x14ac:dyDescent="0.45">
      <c r="A50" s="1" t="s">
        <v>70</v>
      </c>
      <c r="B50">
        <v>1455000</v>
      </c>
      <c r="C50">
        <v>0</v>
      </c>
    </row>
    <row r="51" spans="1:3" x14ac:dyDescent="0.45">
      <c r="A51" s="1" t="s">
        <v>71</v>
      </c>
      <c r="B51">
        <v>2311000</v>
      </c>
      <c r="C51">
        <v>75000</v>
      </c>
    </row>
    <row r="52" spans="1:3" x14ac:dyDescent="0.45">
      <c r="A52" s="1" t="s">
        <v>72</v>
      </c>
      <c r="B52">
        <v>2768000</v>
      </c>
      <c r="C52">
        <v>99000</v>
      </c>
    </row>
    <row r="53" spans="1:3" x14ac:dyDescent="0.45">
      <c r="A53" s="1" t="s">
        <v>73</v>
      </c>
      <c r="B53">
        <v>785000</v>
      </c>
      <c r="C53">
        <v>0</v>
      </c>
    </row>
    <row r="54" spans="1:3" x14ac:dyDescent="0.45">
      <c r="A54" s="1" t="s">
        <v>74</v>
      </c>
      <c r="B54">
        <v>1336000</v>
      </c>
      <c r="C54">
        <v>0</v>
      </c>
    </row>
    <row r="55" spans="1:3" x14ac:dyDescent="0.45">
      <c r="A55" s="1" t="s">
        <v>75</v>
      </c>
      <c r="B55">
        <v>2186000</v>
      </c>
      <c r="C55">
        <v>0</v>
      </c>
    </row>
    <row r="56" spans="1:3" x14ac:dyDescent="0.45">
      <c r="A56" s="1" t="s">
        <v>76</v>
      </c>
      <c r="B56">
        <v>2196000</v>
      </c>
      <c r="C56">
        <v>0</v>
      </c>
    </row>
    <row r="57" spans="1:3" x14ac:dyDescent="0.45">
      <c r="A57" s="1" t="s">
        <v>77</v>
      </c>
      <c r="B57">
        <v>1844000</v>
      </c>
      <c r="C57">
        <v>55000</v>
      </c>
    </row>
    <row r="58" spans="1:3" x14ac:dyDescent="0.45">
      <c r="A58" s="1" t="s">
        <v>78</v>
      </c>
      <c r="B58">
        <v>2462000</v>
      </c>
      <c r="C58">
        <v>0</v>
      </c>
    </row>
    <row r="59" spans="1:3" x14ac:dyDescent="0.45">
      <c r="A59" s="1" t="s">
        <v>79</v>
      </c>
      <c r="B59">
        <v>1907000</v>
      </c>
      <c r="C59">
        <v>352000</v>
      </c>
    </row>
    <row r="60" spans="1:3" x14ac:dyDescent="0.45">
      <c r="A60" s="1" t="s">
        <v>80</v>
      </c>
      <c r="B60">
        <v>596000</v>
      </c>
      <c r="C60">
        <v>0</v>
      </c>
    </row>
    <row r="61" spans="1:3" x14ac:dyDescent="0.45">
      <c r="A61" s="1" t="s">
        <v>81</v>
      </c>
      <c r="B61">
        <v>782000</v>
      </c>
      <c r="C61">
        <v>0</v>
      </c>
    </row>
    <row r="62" spans="1:3" x14ac:dyDescent="0.45">
      <c r="A62" s="1" t="s">
        <v>82</v>
      </c>
      <c r="B62">
        <v>1341000</v>
      </c>
      <c r="C62">
        <v>60000</v>
      </c>
    </row>
    <row r="63" spans="1:3" x14ac:dyDescent="0.45">
      <c r="A63" s="1" t="s">
        <v>83</v>
      </c>
      <c r="B63">
        <v>1750000</v>
      </c>
      <c r="C63">
        <v>0</v>
      </c>
    </row>
    <row r="64" spans="1:3" x14ac:dyDescent="0.45">
      <c r="A64" s="1" t="s">
        <v>84</v>
      </c>
      <c r="B64">
        <v>1539000</v>
      </c>
      <c r="C64">
        <v>100000</v>
      </c>
    </row>
    <row r="65" spans="1:3" x14ac:dyDescent="0.45">
      <c r="A65" s="1" t="s">
        <v>85</v>
      </c>
      <c r="B65">
        <v>2057000</v>
      </c>
      <c r="C65">
        <v>56000</v>
      </c>
    </row>
    <row r="66" spans="1:3" x14ac:dyDescent="0.45">
      <c r="A66" s="1" t="s">
        <v>86</v>
      </c>
      <c r="B66">
        <v>3015400</v>
      </c>
      <c r="C66">
        <v>104600</v>
      </c>
    </row>
    <row r="67" spans="1:3" x14ac:dyDescent="0.45">
      <c r="A67" s="1" t="s">
        <v>87</v>
      </c>
      <c r="B67">
        <v>1766000</v>
      </c>
      <c r="C67">
        <v>121000</v>
      </c>
    </row>
    <row r="68" spans="1:3" x14ac:dyDescent="0.45">
      <c r="A68" s="1" t="s">
        <v>88</v>
      </c>
      <c r="B68">
        <v>1545000</v>
      </c>
      <c r="C68">
        <v>164000</v>
      </c>
    </row>
    <row r="69" spans="1:3" x14ac:dyDescent="0.45">
      <c r="A69" s="1" t="s">
        <v>89</v>
      </c>
      <c r="B69">
        <v>2731000</v>
      </c>
      <c r="C69">
        <v>170000</v>
      </c>
    </row>
    <row r="70" spans="1:3" x14ac:dyDescent="0.45">
      <c r="A70" s="1" t="s">
        <v>90</v>
      </c>
      <c r="B70">
        <v>2218000</v>
      </c>
      <c r="C70">
        <v>0</v>
      </c>
    </row>
    <row r="71" spans="1:3" x14ac:dyDescent="0.45">
      <c r="A71" s="1" t="s">
        <v>91</v>
      </c>
      <c r="B71">
        <v>2623000</v>
      </c>
      <c r="C71">
        <v>0</v>
      </c>
    </row>
    <row r="72" spans="1:3" x14ac:dyDescent="0.45">
      <c r="A72" s="1" t="s">
        <v>92</v>
      </c>
      <c r="B72">
        <v>1619000</v>
      </c>
      <c r="C72">
        <v>96000</v>
      </c>
    </row>
    <row r="73" spans="1:3" x14ac:dyDescent="0.45">
      <c r="A73" s="1" t="s">
        <v>93</v>
      </c>
      <c r="B73">
        <v>2370000</v>
      </c>
      <c r="C73">
        <v>0</v>
      </c>
    </row>
    <row r="74" spans="1:3" x14ac:dyDescent="0.45">
      <c r="A74" s="1" t="s">
        <v>94</v>
      </c>
      <c r="B74">
        <v>1637000</v>
      </c>
      <c r="C74">
        <v>0</v>
      </c>
    </row>
    <row r="75" spans="1:3" x14ac:dyDescent="0.45">
      <c r="A75" s="1" t="s">
        <v>95</v>
      </c>
      <c r="B75">
        <v>3103000</v>
      </c>
      <c r="C75">
        <v>0</v>
      </c>
    </row>
    <row r="76" spans="1:3" x14ac:dyDescent="0.45">
      <c r="A76" s="1" t="s">
        <v>96</v>
      </c>
      <c r="B76">
        <v>3017000</v>
      </c>
      <c r="C76">
        <v>235000</v>
      </c>
    </row>
    <row r="77" spans="1:3" x14ac:dyDescent="0.45">
      <c r="A77" s="1" t="s">
        <v>97</v>
      </c>
      <c r="B77">
        <v>3345000</v>
      </c>
      <c r="C77">
        <v>0</v>
      </c>
    </row>
    <row r="78" spans="1:3" x14ac:dyDescent="0.45">
      <c r="A78" s="1" t="s">
        <v>98</v>
      </c>
      <c r="B78">
        <v>1873000</v>
      </c>
      <c r="C78">
        <v>0</v>
      </c>
    </row>
    <row r="79" spans="1:3" x14ac:dyDescent="0.45">
      <c r="A79" s="1" t="s">
        <v>99</v>
      </c>
      <c r="B79">
        <v>1146000</v>
      </c>
      <c r="C79">
        <v>0</v>
      </c>
    </row>
    <row r="80" spans="1:3" x14ac:dyDescent="0.45">
      <c r="A80" s="1" t="s">
        <v>100</v>
      </c>
      <c r="B80">
        <v>1680000</v>
      </c>
      <c r="C80">
        <v>0</v>
      </c>
    </row>
    <row r="81" spans="1:3" x14ac:dyDescent="0.45">
      <c r="A81" s="1" t="s">
        <v>101</v>
      </c>
      <c r="B81">
        <v>3213000</v>
      </c>
      <c r="C81">
        <v>78000</v>
      </c>
    </row>
    <row r="82" spans="1:3" x14ac:dyDescent="0.45">
      <c r="A82" s="1" t="s">
        <v>102</v>
      </c>
      <c r="B82">
        <v>3015000</v>
      </c>
      <c r="C82">
        <v>130000</v>
      </c>
    </row>
    <row r="83" spans="1:3" x14ac:dyDescent="0.45">
      <c r="A83" s="1" t="s">
        <v>103</v>
      </c>
      <c r="B83">
        <v>1867000</v>
      </c>
      <c r="C83">
        <v>0</v>
      </c>
    </row>
    <row r="84" spans="1:3" x14ac:dyDescent="0.45">
      <c r="A84" s="1" t="s">
        <v>104</v>
      </c>
      <c r="B84">
        <v>2374000</v>
      </c>
      <c r="C84">
        <v>0</v>
      </c>
    </row>
    <row r="85" spans="1:3" x14ac:dyDescent="0.45">
      <c r="A85" s="1" t="s">
        <v>105</v>
      </c>
      <c r="B85">
        <v>1534000</v>
      </c>
      <c r="C85">
        <v>137000</v>
      </c>
    </row>
    <row r="86" spans="1:3" x14ac:dyDescent="0.45">
      <c r="A86" s="1" t="s">
        <v>106</v>
      </c>
      <c r="B86">
        <v>2362000</v>
      </c>
      <c r="C86">
        <v>128000</v>
      </c>
    </row>
    <row r="87" spans="1:3" x14ac:dyDescent="0.45">
      <c r="A87" s="1" t="s">
        <v>107</v>
      </c>
      <c r="B87">
        <v>1398000</v>
      </c>
      <c r="C87">
        <v>75000</v>
      </c>
    </row>
    <row r="88" spans="1:3" x14ac:dyDescent="0.45">
      <c r="A88" s="1" t="s">
        <v>108</v>
      </c>
      <c r="B88">
        <v>1243000</v>
      </c>
      <c r="C88">
        <v>0</v>
      </c>
    </row>
    <row r="89" spans="1:3" x14ac:dyDescent="0.45">
      <c r="A89" s="1" t="s">
        <v>109</v>
      </c>
      <c r="B89">
        <v>1522000</v>
      </c>
      <c r="C89">
        <v>52000</v>
      </c>
    </row>
    <row r="90" spans="1:3" x14ac:dyDescent="0.45">
      <c r="A90" s="1" t="s">
        <v>110</v>
      </c>
      <c r="B90">
        <v>4184000</v>
      </c>
      <c r="C90">
        <v>56000</v>
      </c>
    </row>
    <row r="91" spans="1:3" x14ac:dyDescent="0.45">
      <c r="A91" s="1" t="s">
        <v>111</v>
      </c>
      <c r="B91">
        <v>3636000</v>
      </c>
      <c r="C91">
        <v>154000</v>
      </c>
    </row>
    <row r="92" spans="1:3" x14ac:dyDescent="0.45">
      <c r="A92" s="1" t="s">
        <v>112</v>
      </c>
      <c r="B92">
        <v>2646000</v>
      </c>
      <c r="C92">
        <v>0</v>
      </c>
    </row>
    <row r="93" spans="1:3" x14ac:dyDescent="0.45">
      <c r="A93" s="1" t="s">
        <v>113</v>
      </c>
      <c r="B93">
        <v>1173000</v>
      </c>
      <c r="C93">
        <v>0</v>
      </c>
    </row>
    <row r="94" spans="1:3" x14ac:dyDescent="0.45">
      <c r="A94" s="1" t="s">
        <v>114</v>
      </c>
      <c r="B94">
        <v>2811000</v>
      </c>
      <c r="C94">
        <v>58000</v>
      </c>
    </row>
    <row r="95" spans="1:3" x14ac:dyDescent="0.45">
      <c r="A95" s="1" t="s">
        <v>115</v>
      </c>
      <c r="B95">
        <v>3940000</v>
      </c>
      <c r="C95">
        <v>224000</v>
      </c>
    </row>
    <row r="96" spans="1:3" x14ac:dyDescent="0.45">
      <c r="A96" s="1" t="s">
        <v>116</v>
      </c>
      <c r="B96">
        <v>2551000</v>
      </c>
      <c r="C96">
        <v>5000</v>
      </c>
    </row>
    <row r="97" spans="1:3" x14ac:dyDescent="0.45">
      <c r="A97" s="1" t="s">
        <v>117</v>
      </c>
      <c r="B97">
        <v>3853000</v>
      </c>
      <c r="C97">
        <v>0</v>
      </c>
    </row>
    <row r="98" spans="1:3" x14ac:dyDescent="0.45">
      <c r="A98" s="1" t="s">
        <v>118</v>
      </c>
      <c r="B98">
        <v>4312000</v>
      </c>
      <c r="C98">
        <v>0</v>
      </c>
    </row>
    <row r="99" spans="1:3" x14ac:dyDescent="0.45">
      <c r="A99" s="1" t="s">
        <v>119</v>
      </c>
      <c r="B99">
        <v>2800000</v>
      </c>
      <c r="C99">
        <v>1000</v>
      </c>
    </row>
    <row r="100" spans="1:3" x14ac:dyDescent="0.45">
      <c r="A100" s="1" t="s">
        <v>120</v>
      </c>
      <c r="B100">
        <v>1107000</v>
      </c>
      <c r="C100">
        <v>30000</v>
      </c>
    </row>
    <row r="101" spans="1:3" x14ac:dyDescent="0.45">
      <c r="A101" s="1" t="s">
        <v>121</v>
      </c>
      <c r="B101">
        <v>1546000</v>
      </c>
      <c r="C101">
        <v>40000</v>
      </c>
    </row>
    <row r="102" spans="1:3" x14ac:dyDescent="0.45">
      <c r="A102" s="1" t="s">
        <v>122</v>
      </c>
      <c r="B102">
        <v>1947000</v>
      </c>
      <c r="C102">
        <v>139000</v>
      </c>
    </row>
    <row r="103" spans="1:3" x14ac:dyDescent="0.45">
      <c r="A103" s="1" t="s">
        <v>123</v>
      </c>
      <c r="B103">
        <v>2742000</v>
      </c>
      <c r="C103">
        <v>62000</v>
      </c>
    </row>
    <row r="104" spans="1:3" x14ac:dyDescent="0.45">
      <c r="A104" s="1" t="s">
        <v>124</v>
      </c>
      <c r="B104">
        <v>4075000</v>
      </c>
      <c r="C104">
        <v>112000</v>
      </c>
    </row>
    <row r="105" spans="1:3" x14ac:dyDescent="0.45">
      <c r="A105" s="1" t="s">
        <v>125</v>
      </c>
      <c r="B105">
        <v>3641000</v>
      </c>
      <c r="C105">
        <v>0</v>
      </c>
    </row>
    <row r="106" spans="1:3" x14ac:dyDescent="0.45">
      <c r="A106" s="1" t="s">
        <v>126</v>
      </c>
      <c r="B106">
        <v>3786000</v>
      </c>
      <c r="C106">
        <v>104000</v>
      </c>
    </row>
    <row r="107" spans="1:3" x14ac:dyDescent="0.45">
      <c r="A107" s="1" t="s">
        <v>127</v>
      </c>
      <c r="B107">
        <v>709000</v>
      </c>
      <c r="C107">
        <v>72000</v>
      </c>
    </row>
    <row r="108" spans="1:3" x14ac:dyDescent="0.45">
      <c r="A108" s="1" t="s">
        <v>128</v>
      </c>
      <c r="B108">
        <v>4397000</v>
      </c>
      <c r="C108">
        <v>0</v>
      </c>
    </row>
    <row r="109" spans="1:3" x14ac:dyDescent="0.45">
      <c r="A109" s="1" t="s">
        <v>129</v>
      </c>
      <c r="B109">
        <v>2830000</v>
      </c>
      <c r="C109">
        <v>48000</v>
      </c>
    </row>
    <row r="110" spans="1:3" x14ac:dyDescent="0.45">
      <c r="A110" s="1" t="s">
        <v>130</v>
      </c>
      <c r="B110">
        <v>3622000</v>
      </c>
      <c r="C110">
        <v>0</v>
      </c>
    </row>
    <row r="111" spans="1:3" x14ac:dyDescent="0.45">
      <c r="A111" s="1" t="s">
        <v>131</v>
      </c>
      <c r="B111">
        <v>2497000</v>
      </c>
      <c r="C111">
        <v>123000</v>
      </c>
    </row>
    <row r="112" spans="1:3" x14ac:dyDescent="0.45">
      <c r="A112" s="1" t="s">
        <v>132</v>
      </c>
      <c r="B112">
        <v>2020000</v>
      </c>
      <c r="C112">
        <v>140000</v>
      </c>
    </row>
    <row r="113" spans="1:3" x14ac:dyDescent="0.45">
      <c r="A113" s="1" t="s">
        <v>133</v>
      </c>
      <c r="B113">
        <v>2124000</v>
      </c>
      <c r="C113">
        <v>61000</v>
      </c>
    </row>
    <row r="114" spans="1:3" x14ac:dyDescent="0.45">
      <c r="A114" s="1" t="s">
        <v>134</v>
      </c>
      <c r="B114">
        <v>2824000</v>
      </c>
      <c r="C114">
        <v>0</v>
      </c>
    </row>
    <row r="115" spans="1:3" x14ac:dyDescent="0.45">
      <c r="A115" s="1" t="s">
        <v>135</v>
      </c>
      <c r="B115">
        <v>2162000</v>
      </c>
      <c r="C115">
        <v>52000</v>
      </c>
    </row>
    <row r="116" spans="1:3" x14ac:dyDescent="0.45">
      <c r="A116" s="1" t="s">
        <v>136</v>
      </c>
      <c r="B116">
        <v>2997000</v>
      </c>
      <c r="C116">
        <v>61000</v>
      </c>
    </row>
    <row r="117" spans="1:3" x14ac:dyDescent="0.45">
      <c r="A117" s="1" t="s">
        <v>137</v>
      </c>
      <c r="B117">
        <v>2073000</v>
      </c>
      <c r="C117">
        <v>56000</v>
      </c>
    </row>
    <row r="118" spans="1:3" x14ac:dyDescent="0.45">
      <c r="A118" s="1" t="s">
        <v>138</v>
      </c>
      <c r="B118">
        <v>4179000</v>
      </c>
      <c r="C118">
        <v>0</v>
      </c>
    </row>
    <row r="119" spans="1:3" x14ac:dyDescent="0.45">
      <c r="A119" s="1" t="s">
        <v>139</v>
      </c>
      <c r="B119">
        <v>3850000</v>
      </c>
      <c r="C119">
        <v>0</v>
      </c>
    </row>
    <row r="120" spans="1:3" x14ac:dyDescent="0.45">
      <c r="A120" s="1" t="s">
        <v>140</v>
      </c>
      <c r="B120">
        <v>2823000</v>
      </c>
      <c r="C120">
        <v>15000</v>
      </c>
    </row>
    <row r="121" spans="1:3" x14ac:dyDescent="0.45">
      <c r="A121" s="1" t="s">
        <v>141</v>
      </c>
      <c r="B121">
        <v>2067000</v>
      </c>
      <c r="C121">
        <v>84000</v>
      </c>
    </row>
    <row r="122" spans="1:3" x14ac:dyDescent="0.45">
      <c r="A122" s="1" t="s">
        <v>142</v>
      </c>
      <c r="B122">
        <v>2042000</v>
      </c>
      <c r="C122">
        <v>344000</v>
      </c>
    </row>
    <row r="123" spans="1:3" x14ac:dyDescent="0.45">
      <c r="A123" s="1" t="s">
        <v>143</v>
      </c>
      <c r="B123">
        <v>2804000</v>
      </c>
      <c r="C123">
        <v>63000</v>
      </c>
    </row>
    <row r="124" spans="1:3" x14ac:dyDescent="0.45">
      <c r="A124" s="1" t="s">
        <v>144</v>
      </c>
      <c r="B124">
        <v>3497000</v>
      </c>
      <c r="C124">
        <v>117000</v>
      </c>
    </row>
    <row r="125" spans="1:3" x14ac:dyDescent="0.45">
      <c r="A125" s="1" t="s">
        <v>145</v>
      </c>
      <c r="B125">
        <v>1951000</v>
      </c>
      <c r="C125">
        <v>52000</v>
      </c>
    </row>
    <row r="126" spans="1:3" x14ac:dyDescent="0.45">
      <c r="A126" s="1" t="s">
        <v>146</v>
      </c>
      <c r="B126">
        <v>3754000</v>
      </c>
      <c r="C126">
        <v>267000</v>
      </c>
    </row>
    <row r="127" spans="1:3" x14ac:dyDescent="0.45">
      <c r="A127" s="1" t="s">
        <v>147</v>
      </c>
      <c r="B127">
        <v>2281000</v>
      </c>
      <c r="C127">
        <v>192000</v>
      </c>
    </row>
    <row r="128" spans="1:3" x14ac:dyDescent="0.45">
      <c r="A128" s="1" t="s">
        <v>148</v>
      </c>
      <c r="B128">
        <v>2835000</v>
      </c>
      <c r="C128">
        <v>57000</v>
      </c>
    </row>
    <row r="129" spans="1:3" x14ac:dyDescent="0.45">
      <c r="A129" s="1" t="s">
        <v>149</v>
      </c>
      <c r="B129">
        <v>2264000</v>
      </c>
      <c r="C129">
        <v>0</v>
      </c>
    </row>
    <row r="130" spans="1:3" x14ac:dyDescent="0.45">
      <c r="A130" s="1" t="s">
        <v>150</v>
      </c>
      <c r="B130">
        <v>4491000</v>
      </c>
      <c r="C130">
        <v>112000</v>
      </c>
    </row>
    <row r="131" spans="1:3" x14ac:dyDescent="0.45">
      <c r="A131" s="1" t="s">
        <v>151</v>
      </c>
      <c r="B131">
        <v>2572000</v>
      </c>
      <c r="C131">
        <v>365000</v>
      </c>
    </row>
    <row r="132" spans="1:3" x14ac:dyDescent="0.45">
      <c r="A132" s="1" t="s">
        <v>152</v>
      </c>
      <c r="B132">
        <v>2655000</v>
      </c>
      <c r="C132">
        <v>43000</v>
      </c>
    </row>
    <row r="133" spans="1:3" x14ac:dyDescent="0.45">
      <c r="A133" s="1" t="s">
        <v>153</v>
      </c>
      <c r="B133">
        <v>5639000</v>
      </c>
      <c r="C133">
        <v>0</v>
      </c>
    </row>
    <row r="134" spans="1:3" x14ac:dyDescent="0.45">
      <c r="A134" s="1" t="s">
        <v>154</v>
      </c>
      <c r="B134">
        <v>3367000</v>
      </c>
      <c r="C134">
        <v>72000</v>
      </c>
    </row>
    <row r="135" spans="1:3" x14ac:dyDescent="0.45">
      <c r="A135" s="1" t="s">
        <v>155</v>
      </c>
      <c r="B135">
        <v>2263000</v>
      </c>
      <c r="C135">
        <v>515000</v>
      </c>
    </row>
    <row r="136" spans="1:3" x14ac:dyDescent="0.45">
      <c r="A136" s="1" t="s">
        <v>156</v>
      </c>
      <c r="B136">
        <v>2375000</v>
      </c>
      <c r="C136">
        <v>22000</v>
      </c>
    </row>
    <row r="137" spans="1:3" x14ac:dyDescent="0.45">
      <c r="A137" s="1" t="s">
        <v>157</v>
      </c>
      <c r="B137">
        <v>2864000</v>
      </c>
      <c r="C137">
        <v>483000</v>
      </c>
    </row>
    <row r="138" spans="1:3" x14ac:dyDescent="0.45">
      <c r="A138" s="1" t="s">
        <v>158</v>
      </c>
      <c r="B138">
        <v>2689000</v>
      </c>
      <c r="C138">
        <v>86000</v>
      </c>
    </row>
    <row r="139" spans="1:3" x14ac:dyDescent="0.45">
      <c r="A139" s="1" t="s">
        <v>159</v>
      </c>
      <c r="B139">
        <v>1769000</v>
      </c>
      <c r="C139">
        <v>30000</v>
      </c>
    </row>
    <row r="140" spans="1:3" x14ac:dyDescent="0.45">
      <c r="A140" s="1" t="s">
        <v>160</v>
      </c>
      <c r="B140">
        <v>2544000</v>
      </c>
      <c r="C140">
        <v>152000</v>
      </c>
    </row>
    <row r="141" spans="1:3" x14ac:dyDescent="0.45">
      <c r="A141" s="1" t="s">
        <v>161</v>
      </c>
      <c r="B141">
        <v>3036000</v>
      </c>
      <c r="C141">
        <v>0</v>
      </c>
    </row>
    <row r="142" spans="1:3" x14ac:dyDescent="0.45">
      <c r="A142" s="1" t="s">
        <v>162</v>
      </c>
      <c r="B142">
        <v>1866000</v>
      </c>
      <c r="C142">
        <v>101000</v>
      </c>
    </row>
    <row r="143" spans="1:3" x14ac:dyDescent="0.45">
      <c r="A143" s="1" t="s">
        <v>163</v>
      </c>
      <c r="B143">
        <v>2718000</v>
      </c>
      <c r="C143">
        <v>75000</v>
      </c>
    </row>
    <row r="144" spans="1:3" x14ac:dyDescent="0.45">
      <c r="A144" s="1" t="s">
        <v>164</v>
      </c>
      <c r="B144">
        <v>3226000</v>
      </c>
      <c r="C144">
        <v>164000</v>
      </c>
    </row>
    <row r="145" spans="1:3" x14ac:dyDescent="0.45">
      <c r="A145" s="1" t="s">
        <v>165</v>
      </c>
      <c r="B145">
        <v>4467000</v>
      </c>
      <c r="C145">
        <v>183000</v>
      </c>
    </row>
    <row r="146" spans="1:3" x14ac:dyDescent="0.45">
      <c r="A146" s="1" t="s">
        <v>166</v>
      </c>
      <c r="B146">
        <v>3778000</v>
      </c>
      <c r="C146">
        <v>71000</v>
      </c>
    </row>
    <row r="147" spans="1:3" x14ac:dyDescent="0.45">
      <c r="A147" s="1" t="s">
        <v>167</v>
      </c>
      <c r="B147">
        <v>3239000</v>
      </c>
      <c r="C147">
        <v>231000</v>
      </c>
    </row>
    <row r="148" spans="1:3" x14ac:dyDescent="0.45">
      <c r="A148" s="1" t="s">
        <v>168</v>
      </c>
      <c r="B148">
        <v>4027000</v>
      </c>
      <c r="C148">
        <v>509000</v>
      </c>
    </row>
    <row r="149" spans="1:3" x14ac:dyDescent="0.45">
      <c r="A149" s="1" t="s">
        <v>169</v>
      </c>
      <c r="B149">
        <v>3515000</v>
      </c>
      <c r="C149">
        <v>69000</v>
      </c>
    </row>
    <row r="150" spans="1:3" x14ac:dyDescent="0.45">
      <c r="A150" s="1" t="s">
        <v>170</v>
      </c>
      <c r="B150">
        <v>2302000</v>
      </c>
      <c r="C150">
        <v>255000</v>
      </c>
    </row>
    <row r="151" spans="1:3" x14ac:dyDescent="0.45">
      <c r="A151" s="1" t="s">
        <v>171</v>
      </c>
      <c r="B151">
        <v>3134000</v>
      </c>
      <c r="C151">
        <v>0</v>
      </c>
    </row>
    <row r="152" spans="1:3" x14ac:dyDescent="0.45">
      <c r="A152" s="1" t="s">
        <v>172</v>
      </c>
      <c r="B152">
        <v>3460000</v>
      </c>
      <c r="C152">
        <v>164000</v>
      </c>
    </row>
    <row r="153" spans="1:3" x14ac:dyDescent="0.45">
      <c r="A153" s="1" t="s">
        <v>173</v>
      </c>
      <c r="B153">
        <v>4755000</v>
      </c>
      <c r="C153">
        <v>160000</v>
      </c>
    </row>
    <row r="154" spans="1:3" x14ac:dyDescent="0.45">
      <c r="A154" s="1" t="s">
        <v>174</v>
      </c>
      <c r="B154">
        <v>3221000</v>
      </c>
      <c r="C154">
        <v>71000</v>
      </c>
    </row>
    <row r="155" spans="1:3" x14ac:dyDescent="0.45">
      <c r="A155" s="1" t="s">
        <v>175</v>
      </c>
      <c r="B155">
        <v>2218000</v>
      </c>
      <c r="C155">
        <v>181000</v>
      </c>
    </row>
    <row r="156" spans="1:3" x14ac:dyDescent="0.45">
      <c r="A156" s="1" t="s">
        <v>176</v>
      </c>
      <c r="B156">
        <v>3223000</v>
      </c>
      <c r="C156">
        <v>0</v>
      </c>
    </row>
    <row r="157" spans="1:3" x14ac:dyDescent="0.45">
      <c r="A157" s="1" t="s">
        <v>177</v>
      </c>
      <c r="B157">
        <v>2595000</v>
      </c>
      <c r="C157">
        <v>203000</v>
      </c>
    </row>
    <row r="158" spans="1:3" x14ac:dyDescent="0.45">
      <c r="A158" s="1" t="s">
        <v>178</v>
      </c>
      <c r="B158">
        <v>4080000</v>
      </c>
      <c r="C158">
        <v>275000</v>
      </c>
    </row>
    <row r="159" spans="1:3" x14ac:dyDescent="0.45">
      <c r="A159" s="1" t="s">
        <v>179</v>
      </c>
      <c r="B159">
        <v>3112000</v>
      </c>
      <c r="C159">
        <v>49000</v>
      </c>
    </row>
    <row r="160" spans="1:3" x14ac:dyDescent="0.45">
      <c r="A160" s="1" t="s">
        <v>180</v>
      </c>
      <c r="B160">
        <v>3742000</v>
      </c>
      <c r="C160">
        <v>124000</v>
      </c>
    </row>
    <row r="161" spans="1:3" x14ac:dyDescent="0.45">
      <c r="A161" s="1" t="s">
        <v>181</v>
      </c>
      <c r="B161">
        <v>4191000</v>
      </c>
      <c r="C161">
        <v>81000</v>
      </c>
    </row>
    <row r="162" spans="1:3" x14ac:dyDescent="0.45">
      <c r="A162" s="1" t="s">
        <v>182</v>
      </c>
      <c r="B162">
        <v>2515000</v>
      </c>
      <c r="C162">
        <v>0</v>
      </c>
    </row>
    <row r="163" spans="1:3" x14ac:dyDescent="0.45">
      <c r="A163" s="1" t="s">
        <v>183</v>
      </c>
      <c r="B163">
        <v>4387000</v>
      </c>
      <c r="C163">
        <v>407000</v>
      </c>
    </row>
    <row r="164" spans="1:3" x14ac:dyDescent="0.45">
      <c r="A164" s="1" t="s">
        <v>184</v>
      </c>
      <c r="B164">
        <v>3360000</v>
      </c>
      <c r="C164">
        <v>46000</v>
      </c>
    </row>
    <row r="165" spans="1:3" x14ac:dyDescent="0.45">
      <c r="A165" s="1" t="s">
        <v>185</v>
      </c>
      <c r="B165">
        <v>5769000</v>
      </c>
      <c r="C165">
        <v>121000</v>
      </c>
    </row>
    <row r="166" spans="1:3" x14ac:dyDescent="0.45">
      <c r="A166" s="1" t="s">
        <v>186</v>
      </c>
      <c r="B166">
        <v>4641000</v>
      </c>
      <c r="C166">
        <v>191000</v>
      </c>
    </row>
    <row r="167" spans="1:3" x14ac:dyDescent="0.45">
      <c r="A167" s="1" t="s">
        <v>187</v>
      </c>
      <c r="B167">
        <v>3909000</v>
      </c>
      <c r="C167">
        <v>236000</v>
      </c>
    </row>
    <row r="168" spans="1:3" x14ac:dyDescent="0.45">
      <c r="A168" s="1" t="s">
        <v>188</v>
      </c>
      <c r="B168">
        <v>4956000</v>
      </c>
      <c r="C168">
        <v>116000</v>
      </c>
    </row>
    <row r="169" spans="1:3" x14ac:dyDescent="0.45">
      <c r="A169" s="1" t="s">
        <v>189</v>
      </c>
      <c r="B169">
        <v>3182000</v>
      </c>
      <c r="C169">
        <v>225000</v>
      </c>
    </row>
    <row r="170" spans="1:3" x14ac:dyDescent="0.45">
      <c r="A170" s="1" t="s">
        <v>190</v>
      </c>
      <c r="B170">
        <v>3857000</v>
      </c>
      <c r="C170">
        <v>200000</v>
      </c>
    </row>
    <row r="171" spans="1:3" x14ac:dyDescent="0.45">
      <c r="A171" s="1" t="s">
        <v>191</v>
      </c>
      <c r="B171">
        <v>3371000</v>
      </c>
      <c r="C171">
        <v>143000</v>
      </c>
    </row>
    <row r="172" spans="1:3" x14ac:dyDescent="0.45">
      <c r="A172" s="1" t="s">
        <v>192</v>
      </c>
      <c r="B172">
        <v>3453000</v>
      </c>
      <c r="C172">
        <v>153000</v>
      </c>
    </row>
    <row r="173" spans="1:3" x14ac:dyDescent="0.45">
      <c r="A173" s="1" t="s">
        <v>193</v>
      </c>
      <c r="B173">
        <v>4994000</v>
      </c>
      <c r="C173">
        <v>116000</v>
      </c>
    </row>
    <row r="174" spans="1:3" x14ac:dyDescent="0.45">
      <c r="A174" s="1" t="s">
        <v>194</v>
      </c>
      <c r="B174">
        <v>3582000</v>
      </c>
      <c r="C174">
        <v>550000</v>
      </c>
    </row>
    <row r="175" spans="1:3" x14ac:dyDescent="0.45">
      <c r="A175" s="1" t="s">
        <v>195</v>
      </c>
      <c r="B175">
        <v>3367000</v>
      </c>
      <c r="C175">
        <v>230000</v>
      </c>
    </row>
    <row r="176" spans="1:3" x14ac:dyDescent="0.45">
      <c r="A176" s="1" t="s">
        <v>196</v>
      </c>
      <c r="B176">
        <v>4710000</v>
      </c>
      <c r="C176">
        <v>66000</v>
      </c>
    </row>
    <row r="177" spans="1:3" x14ac:dyDescent="0.45">
      <c r="A177" s="1" t="s">
        <v>197</v>
      </c>
      <c r="B177">
        <v>3686000</v>
      </c>
      <c r="C177">
        <v>103000</v>
      </c>
    </row>
    <row r="178" spans="1:3" x14ac:dyDescent="0.45">
      <c r="A178" s="1" t="s">
        <v>198</v>
      </c>
      <c r="B178">
        <v>4770000</v>
      </c>
      <c r="C178">
        <v>460000</v>
      </c>
    </row>
    <row r="179" spans="1:3" x14ac:dyDescent="0.45">
      <c r="A179" s="1" t="s">
        <v>199</v>
      </c>
      <c r="B179">
        <v>4064000</v>
      </c>
      <c r="C179">
        <v>210000</v>
      </c>
    </row>
    <row r="180" spans="1:3" x14ac:dyDescent="0.45">
      <c r="A180" s="1" t="s">
        <v>200</v>
      </c>
      <c r="B180">
        <v>4591000</v>
      </c>
      <c r="C180">
        <v>66000</v>
      </c>
    </row>
    <row r="181" spans="1:3" x14ac:dyDescent="0.45">
      <c r="A181" s="1" t="s">
        <v>201</v>
      </c>
      <c r="B181">
        <v>5150000</v>
      </c>
      <c r="C181">
        <v>198000</v>
      </c>
    </row>
    <row r="182" spans="1:3" x14ac:dyDescent="0.45">
      <c r="A182" s="1" t="s">
        <v>202</v>
      </c>
      <c r="B182">
        <v>3903000</v>
      </c>
      <c r="C182">
        <v>153000</v>
      </c>
    </row>
    <row r="183" spans="1:3" x14ac:dyDescent="0.45">
      <c r="A183" s="1" t="s">
        <v>203</v>
      </c>
      <c r="B183">
        <v>2673000</v>
      </c>
      <c r="C183">
        <v>350000</v>
      </c>
    </row>
    <row r="184" spans="1:3" x14ac:dyDescent="0.45">
      <c r="A184" s="1" t="s">
        <v>204</v>
      </c>
      <c r="B184">
        <v>1887000</v>
      </c>
      <c r="C184">
        <v>0</v>
      </c>
    </row>
    <row r="185" spans="1:3" x14ac:dyDescent="0.45">
      <c r="A185" s="1" t="s">
        <v>205</v>
      </c>
      <c r="B185">
        <v>4123000</v>
      </c>
      <c r="C185">
        <v>293000</v>
      </c>
    </row>
    <row r="186" spans="1:3" x14ac:dyDescent="0.45">
      <c r="A186" s="1" t="s">
        <v>206</v>
      </c>
      <c r="B186">
        <v>3822000</v>
      </c>
      <c r="C186">
        <v>139000</v>
      </c>
    </row>
    <row r="187" spans="1:3" x14ac:dyDescent="0.45">
      <c r="A187" s="1" t="s">
        <v>207</v>
      </c>
      <c r="B187">
        <v>3601000</v>
      </c>
      <c r="C187">
        <v>201000</v>
      </c>
    </row>
    <row r="188" spans="1:3" x14ac:dyDescent="0.45">
      <c r="A188" s="1" t="s">
        <v>208</v>
      </c>
      <c r="B188">
        <v>3641000</v>
      </c>
      <c r="C188">
        <v>105000</v>
      </c>
    </row>
    <row r="189" spans="1:3" x14ac:dyDescent="0.45">
      <c r="A189" s="1" t="s">
        <v>209</v>
      </c>
      <c r="B189">
        <v>3575000</v>
      </c>
      <c r="C189">
        <v>0</v>
      </c>
    </row>
    <row r="190" spans="1:3" x14ac:dyDescent="0.45">
      <c r="A190" s="1" t="s">
        <v>210</v>
      </c>
      <c r="B190">
        <v>4734000</v>
      </c>
      <c r="C190">
        <v>109000</v>
      </c>
    </row>
    <row r="191" spans="1:3" x14ac:dyDescent="0.45">
      <c r="A191" s="1" t="s">
        <v>211</v>
      </c>
      <c r="B191">
        <v>6795000</v>
      </c>
      <c r="C191">
        <v>149000</v>
      </c>
    </row>
    <row r="192" spans="1:3" x14ac:dyDescent="0.45">
      <c r="A192" s="1" t="s">
        <v>212</v>
      </c>
      <c r="B192">
        <v>3904000</v>
      </c>
      <c r="C192">
        <v>70000</v>
      </c>
    </row>
    <row r="193" spans="1:3" x14ac:dyDescent="0.45">
      <c r="A193" s="1" t="s">
        <v>213</v>
      </c>
      <c r="B193">
        <v>4512000</v>
      </c>
      <c r="C193">
        <v>44000</v>
      </c>
    </row>
    <row r="194" spans="1:3" x14ac:dyDescent="0.45">
      <c r="A194" s="1" t="s">
        <v>214</v>
      </c>
      <c r="B194">
        <v>3792000</v>
      </c>
      <c r="C194">
        <v>287000</v>
      </c>
    </row>
    <row r="195" spans="1:3" x14ac:dyDescent="0.45">
      <c r="A195" s="1" t="s">
        <v>215</v>
      </c>
      <c r="B195">
        <v>4824000</v>
      </c>
      <c r="C195">
        <v>64000</v>
      </c>
    </row>
    <row r="196" spans="1:3" x14ac:dyDescent="0.45">
      <c r="A196" s="1" t="s">
        <v>216</v>
      </c>
      <c r="B196">
        <v>4632000</v>
      </c>
      <c r="C196">
        <v>0</v>
      </c>
    </row>
    <row r="197" spans="1:3" x14ac:dyDescent="0.45">
      <c r="A197" s="1" t="s">
        <v>217</v>
      </c>
      <c r="B197">
        <v>3795000</v>
      </c>
      <c r="C197">
        <v>188000</v>
      </c>
    </row>
    <row r="198" spans="1:3" x14ac:dyDescent="0.45">
      <c r="A198" s="1" t="s">
        <v>218</v>
      </c>
      <c r="B198">
        <v>2822000</v>
      </c>
      <c r="C198">
        <v>62000</v>
      </c>
    </row>
    <row r="199" spans="1:3" x14ac:dyDescent="0.45">
      <c r="A199" s="1" t="s">
        <v>219</v>
      </c>
      <c r="B199">
        <v>4165000</v>
      </c>
      <c r="C199">
        <v>335000</v>
      </c>
    </row>
    <row r="200" spans="1:3" x14ac:dyDescent="0.45">
      <c r="A200" s="1" t="s">
        <v>220</v>
      </c>
      <c r="B200">
        <v>4150000</v>
      </c>
      <c r="C200">
        <v>247000</v>
      </c>
    </row>
    <row r="201" spans="1:3" x14ac:dyDescent="0.45">
      <c r="A201" s="1" t="s">
        <v>221</v>
      </c>
      <c r="B201">
        <v>4209000</v>
      </c>
      <c r="C201">
        <v>0</v>
      </c>
    </row>
    <row r="202" spans="1:3" x14ac:dyDescent="0.45">
      <c r="A202" s="1" t="s">
        <v>222</v>
      </c>
      <c r="B202">
        <v>4553000</v>
      </c>
      <c r="C202">
        <v>64000</v>
      </c>
    </row>
    <row r="203" spans="1:3" x14ac:dyDescent="0.45">
      <c r="A203" s="1" t="s">
        <v>223</v>
      </c>
      <c r="B203">
        <v>3135000</v>
      </c>
      <c r="C203">
        <v>0</v>
      </c>
    </row>
    <row r="204" spans="1:3" x14ac:dyDescent="0.45">
      <c r="A204" s="1" t="s">
        <v>224</v>
      </c>
      <c r="B204">
        <v>2844000</v>
      </c>
      <c r="C204">
        <v>0</v>
      </c>
    </row>
    <row r="205" spans="1:3" x14ac:dyDescent="0.45">
      <c r="A205" s="1" t="s">
        <v>225</v>
      </c>
      <c r="B205">
        <v>1768000</v>
      </c>
      <c r="C205">
        <v>0</v>
      </c>
    </row>
    <row r="206" spans="1:3" x14ac:dyDescent="0.45">
      <c r="A206" s="1" t="s">
        <v>226</v>
      </c>
      <c r="B206">
        <v>2615000</v>
      </c>
      <c r="C206">
        <v>254000</v>
      </c>
    </row>
    <row r="207" spans="1:3" x14ac:dyDescent="0.45">
      <c r="A207" s="1" t="s">
        <v>227</v>
      </c>
      <c r="B207">
        <v>2379000</v>
      </c>
      <c r="C207">
        <v>63000</v>
      </c>
    </row>
    <row r="208" spans="1:3" x14ac:dyDescent="0.45">
      <c r="A208" s="1" t="s">
        <v>228</v>
      </c>
      <c r="B208">
        <v>2222000</v>
      </c>
      <c r="C208">
        <v>76000</v>
      </c>
    </row>
    <row r="209" spans="1:3" x14ac:dyDescent="0.45">
      <c r="A209" s="1" t="s">
        <v>229</v>
      </c>
      <c r="B209">
        <v>2849000</v>
      </c>
      <c r="C209">
        <v>0</v>
      </c>
    </row>
    <row r="210" spans="1:3" x14ac:dyDescent="0.45">
      <c r="A210" s="1" t="s">
        <v>230</v>
      </c>
      <c r="B210">
        <v>2699000</v>
      </c>
      <c r="C210">
        <v>57000</v>
      </c>
    </row>
    <row r="211" spans="1:3" x14ac:dyDescent="0.45">
      <c r="A211" s="1" t="s">
        <v>231</v>
      </c>
      <c r="B211">
        <v>2456000</v>
      </c>
      <c r="C211">
        <v>196000</v>
      </c>
    </row>
    <row r="212" spans="1:3" x14ac:dyDescent="0.45">
      <c r="A212" s="1" t="s">
        <v>232</v>
      </c>
      <c r="B212">
        <v>2199000</v>
      </c>
      <c r="C212">
        <v>0</v>
      </c>
    </row>
    <row r="213" spans="1:3" x14ac:dyDescent="0.45">
      <c r="A213" s="1" t="s">
        <v>233</v>
      </c>
      <c r="B213">
        <v>1412000</v>
      </c>
      <c r="C213">
        <v>0</v>
      </c>
    </row>
    <row r="214" spans="1:3" x14ac:dyDescent="0.45">
      <c r="A214" s="1" t="s">
        <v>234</v>
      </c>
      <c r="B214">
        <v>2739000</v>
      </c>
      <c r="C214">
        <v>256000</v>
      </c>
    </row>
    <row r="215" spans="1:3" x14ac:dyDescent="0.45">
      <c r="A215" s="1" t="s">
        <v>235</v>
      </c>
      <c r="B215">
        <v>1256000</v>
      </c>
      <c r="C215">
        <v>89000</v>
      </c>
    </row>
    <row r="216" spans="1:3" x14ac:dyDescent="0.45">
      <c r="A216" s="1" t="s">
        <v>236</v>
      </c>
      <c r="B216">
        <v>2682000</v>
      </c>
      <c r="C216">
        <v>0</v>
      </c>
    </row>
    <row r="217" spans="1:3" x14ac:dyDescent="0.45">
      <c r="A217" s="1" t="s">
        <v>237</v>
      </c>
      <c r="B217">
        <v>793000</v>
      </c>
      <c r="C217">
        <v>0</v>
      </c>
    </row>
    <row r="218" spans="1:3" x14ac:dyDescent="0.45">
      <c r="A218" s="1" t="s">
        <v>238</v>
      </c>
      <c r="B218">
        <v>1106000</v>
      </c>
      <c r="C218">
        <v>0</v>
      </c>
    </row>
    <row r="219" spans="1:3" x14ac:dyDescent="0.45">
      <c r="A219" s="1" t="s">
        <v>239</v>
      </c>
      <c r="B219">
        <v>2565000</v>
      </c>
      <c r="C219">
        <v>465000</v>
      </c>
    </row>
    <row r="220" spans="1:3" x14ac:dyDescent="0.45">
      <c r="A220" s="1" t="s">
        <v>240</v>
      </c>
      <c r="B220">
        <v>3020000</v>
      </c>
      <c r="C220">
        <v>49000</v>
      </c>
    </row>
    <row r="221" spans="1:3" x14ac:dyDescent="0.45">
      <c r="A221" s="1" t="s">
        <v>241</v>
      </c>
      <c r="B221">
        <v>2312000</v>
      </c>
      <c r="C221">
        <v>599000</v>
      </c>
    </row>
    <row r="222" spans="1:3" x14ac:dyDescent="0.45">
      <c r="A222" s="1" t="s">
        <v>242</v>
      </c>
      <c r="B222">
        <v>1839000</v>
      </c>
      <c r="C222">
        <v>0</v>
      </c>
    </row>
    <row r="223" spans="1:3" x14ac:dyDescent="0.45">
      <c r="A223" s="1" t="s">
        <v>243</v>
      </c>
      <c r="B223">
        <v>1395000</v>
      </c>
      <c r="C223">
        <v>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H8"/>
  <sheetViews>
    <sheetView tabSelected="1" zoomScale="55" zoomScaleNormal="55" workbookViewId="0">
      <selection activeCell="U38" sqref="U38"/>
    </sheetView>
  </sheetViews>
  <sheetFormatPr defaultRowHeight="17" x14ac:dyDescent="0.45"/>
  <cols>
    <col min="1" max="1" width="11.6640625" style="4" bestFit="1" customWidth="1"/>
    <col min="2" max="2" width="13.75" style="6" bestFit="1" customWidth="1"/>
    <col min="3" max="3" width="10.5" style="6" bestFit="1" customWidth="1"/>
    <col min="4" max="4" width="14" style="6" customWidth="1"/>
    <col min="5" max="5" width="8.75" style="6" bestFit="1" customWidth="1"/>
    <col min="6" max="8" width="9.08203125" style="6" bestFit="1" customWidth="1"/>
    <col min="9" max="10" width="10.58203125" style="6" bestFit="1" customWidth="1"/>
    <col min="11" max="11" width="12.33203125" style="6" bestFit="1" customWidth="1"/>
    <col min="12" max="14" width="8.6640625" style="6"/>
    <col min="15" max="15" width="10.58203125" style="6" bestFit="1" customWidth="1"/>
    <col min="16" max="16" width="8.6640625" style="6"/>
    <col min="17" max="17" width="9.08203125" style="6" bestFit="1" customWidth="1"/>
    <col min="18" max="18" width="10.58203125" style="6" bestFit="1" customWidth="1"/>
    <col min="19" max="19" width="9.08203125" style="6" bestFit="1" customWidth="1"/>
    <col min="20" max="20" width="11.6640625" style="6" bestFit="1" customWidth="1"/>
    <col min="21" max="21" width="9.08203125" style="6" bestFit="1" customWidth="1"/>
    <col min="22" max="22" width="10.58203125" style="6" bestFit="1" customWidth="1"/>
    <col min="23" max="24" width="9.08203125" style="6" bestFit="1" customWidth="1"/>
    <col min="25" max="25" width="10.08203125" style="6" bestFit="1" customWidth="1"/>
    <col min="26" max="26" width="8.6640625" style="6"/>
    <col min="27" max="28" width="11.6640625" style="6" bestFit="1" customWidth="1"/>
    <col min="29" max="29" width="11.75" style="6" bestFit="1" customWidth="1"/>
    <col min="30" max="30" width="8.6640625" style="6"/>
    <col min="31" max="31" width="10.58203125" style="6" bestFit="1" customWidth="1"/>
    <col min="32" max="33" width="11.75" style="6" bestFit="1" customWidth="1"/>
    <col min="34" max="34" width="10.08203125" style="6" bestFit="1" customWidth="1"/>
    <col min="35" max="16384" width="8.6640625" style="6"/>
  </cols>
  <sheetData>
    <row r="1" spans="1:34" customFormat="1" x14ac:dyDescent="0.45">
      <c r="A1" s="4" t="s">
        <v>244</v>
      </c>
      <c r="B1" t="s">
        <v>246</v>
      </c>
      <c r="C1" t="s">
        <v>247</v>
      </c>
      <c r="D1" t="s">
        <v>248</v>
      </c>
      <c r="E1" t="s">
        <v>249</v>
      </c>
      <c r="F1" t="s">
        <v>250</v>
      </c>
      <c r="G1" t="s">
        <v>251</v>
      </c>
      <c r="H1" t="s">
        <v>252</v>
      </c>
      <c r="I1" t="s">
        <v>258</v>
      </c>
      <c r="J1" t="s">
        <v>253</v>
      </c>
      <c r="K1" t="s">
        <v>254</v>
      </c>
      <c r="L1" t="s">
        <v>255</v>
      </c>
      <c r="M1" t="s">
        <v>256</v>
      </c>
      <c r="N1" t="s">
        <v>257</v>
      </c>
      <c r="O1" t="s">
        <v>259</v>
      </c>
      <c r="Q1" t="s">
        <v>260</v>
      </c>
      <c r="R1" t="s">
        <v>261</v>
      </c>
      <c r="S1" t="s">
        <v>262</v>
      </c>
      <c r="T1" t="s">
        <v>263</v>
      </c>
      <c r="U1" t="s">
        <v>264</v>
      </c>
      <c r="V1" t="s">
        <v>245</v>
      </c>
      <c r="W1" t="s">
        <v>265</v>
      </c>
      <c r="X1" t="s">
        <v>266</v>
      </c>
      <c r="Y1" t="s">
        <v>251</v>
      </c>
      <c r="AA1" t="s">
        <v>267</v>
      </c>
      <c r="AB1" t="s">
        <v>268</v>
      </c>
      <c r="AC1" t="s">
        <v>269</v>
      </c>
      <c r="AE1" t="s">
        <v>270</v>
      </c>
      <c r="AF1" t="s">
        <v>271</v>
      </c>
      <c r="AG1" t="s">
        <v>272</v>
      </c>
      <c r="AH1" t="s">
        <v>273</v>
      </c>
    </row>
    <row r="2" spans="1:34" x14ac:dyDescent="0.45">
      <c r="A2" s="4">
        <v>45778</v>
      </c>
      <c r="B2" s="5">
        <v>7103520</v>
      </c>
      <c r="C2" s="5">
        <v>184888</v>
      </c>
      <c r="D2" s="5">
        <v>6408900</v>
      </c>
      <c r="F2" s="5">
        <v>284000</v>
      </c>
      <c r="G2" s="5">
        <v>1224800</v>
      </c>
      <c r="H2" s="5">
        <v>584800</v>
      </c>
      <c r="I2" s="5">
        <v>2198300</v>
      </c>
      <c r="J2" s="5">
        <v>1589150</v>
      </c>
      <c r="K2" s="5">
        <v>144100</v>
      </c>
      <c r="L2" s="6">
        <v>99000</v>
      </c>
      <c r="M2" s="5">
        <v>55252</v>
      </c>
      <c r="N2" s="5">
        <v>35872</v>
      </c>
      <c r="Q2" s="5">
        <v>301100</v>
      </c>
      <c r="T2" s="5">
        <v>28015600</v>
      </c>
      <c r="U2" s="5">
        <v>250000</v>
      </c>
      <c r="V2" s="6">
        <v>3200000</v>
      </c>
      <c r="Y2" s="5">
        <v>3179500</v>
      </c>
      <c r="AA2" s="6">
        <f>J2+G2+F2+I2+M2+R2+S2+V2+Y2</f>
        <v>11731002</v>
      </c>
      <c r="AB2" s="6">
        <f>T2</f>
        <v>28015600</v>
      </c>
      <c r="AC2" s="6">
        <f>C2+K2+L2+N2+W2+X2+U2</f>
        <v>713860</v>
      </c>
      <c r="AE2" s="6">
        <f>B2</f>
        <v>7103520</v>
      </c>
      <c r="AF2" s="6">
        <f>O2+Q2</f>
        <v>301100</v>
      </c>
      <c r="AG2" s="6">
        <f>D2</f>
        <v>6408900</v>
      </c>
      <c r="AH2" s="6">
        <f>E2+H2</f>
        <v>584800</v>
      </c>
    </row>
    <row r="3" spans="1:34" x14ac:dyDescent="0.45">
      <c r="A3" s="4">
        <v>45809</v>
      </c>
      <c r="B3" s="6">
        <v>7640950</v>
      </c>
      <c r="C3" s="7">
        <v>400488</v>
      </c>
      <c r="D3" s="7">
        <v>8864300</v>
      </c>
      <c r="E3" s="6">
        <v>60984</v>
      </c>
      <c r="F3" s="6">
        <v>354000</v>
      </c>
      <c r="G3" s="6">
        <v>75000</v>
      </c>
      <c r="H3" s="6">
        <v>644600</v>
      </c>
      <c r="J3" s="5">
        <v>3039260</v>
      </c>
      <c r="K3" s="6">
        <v>67100</v>
      </c>
      <c r="L3" s="6">
        <v>99000</v>
      </c>
      <c r="M3" s="6">
        <v>34000</v>
      </c>
      <c r="N3" s="6">
        <v>36503</v>
      </c>
      <c r="Q3" s="5">
        <v>595740</v>
      </c>
      <c r="T3" s="5">
        <v>36150200</v>
      </c>
      <c r="U3" s="5">
        <v>185000</v>
      </c>
      <c r="V3" s="5">
        <v>4983230</v>
      </c>
      <c r="W3" s="5">
        <v>268400</v>
      </c>
      <c r="X3" s="6">
        <v>100000</v>
      </c>
      <c r="Y3" s="5">
        <v>1322500</v>
      </c>
      <c r="AA3" s="6">
        <f t="shared" ref="AA3:AA8" si="0">J3+G3+F3+I3+M3+R3+S3+V3+Y3</f>
        <v>9807990</v>
      </c>
      <c r="AB3" s="6">
        <f t="shared" ref="AB3:AB8" si="1">T3</f>
        <v>36150200</v>
      </c>
      <c r="AC3" s="6">
        <f t="shared" ref="AC3:AC8" si="2">C3+K3+L3+N3+W3+X3+U3</f>
        <v>1156491</v>
      </c>
      <c r="AE3" s="6">
        <f t="shared" ref="AE3:AE8" si="3">B3</f>
        <v>7640950</v>
      </c>
      <c r="AF3" s="6">
        <f t="shared" ref="AF3:AF8" si="4">O3+Q3</f>
        <v>595740</v>
      </c>
      <c r="AG3" s="6">
        <f t="shared" ref="AG3:AG8" si="5">D3</f>
        <v>8864300</v>
      </c>
      <c r="AH3" s="6">
        <f t="shared" ref="AH3:AH8" si="6">E3+H3</f>
        <v>705584</v>
      </c>
    </row>
    <row r="4" spans="1:34" x14ac:dyDescent="0.45">
      <c r="A4" s="4">
        <v>45839</v>
      </c>
      <c r="B4" s="6">
        <v>8539980</v>
      </c>
      <c r="C4" s="6">
        <v>424941</v>
      </c>
      <c r="D4" s="6">
        <v>5950900</v>
      </c>
      <c r="F4" s="6">
        <v>354000</v>
      </c>
      <c r="G4" s="6">
        <v>422500</v>
      </c>
      <c r="H4" s="6">
        <v>707200</v>
      </c>
      <c r="I4" s="6">
        <v>1295000</v>
      </c>
      <c r="J4" s="6">
        <v>2438740</v>
      </c>
      <c r="K4" s="6">
        <v>67100</v>
      </c>
      <c r="L4" s="6">
        <v>99000</v>
      </c>
      <c r="M4" s="6">
        <v>68000</v>
      </c>
      <c r="N4" s="6">
        <v>41693</v>
      </c>
      <c r="Q4" s="5">
        <v>712320</v>
      </c>
      <c r="R4" s="6">
        <v>4696000</v>
      </c>
      <c r="T4" s="6">
        <v>22988000</v>
      </c>
      <c r="V4" s="5">
        <v>4659830</v>
      </c>
      <c r="W4" s="5">
        <v>246000</v>
      </c>
      <c r="Y4" s="5">
        <v>2448800</v>
      </c>
      <c r="AA4" s="6">
        <f t="shared" si="0"/>
        <v>16382870</v>
      </c>
      <c r="AB4" s="6">
        <f t="shared" si="1"/>
        <v>22988000</v>
      </c>
      <c r="AC4" s="6">
        <f t="shared" si="2"/>
        <v>878734</v>
      </c>
      <c r="AE4" s="6">
        <f t="shared" si="3"/>
        <v>8539980</v>
      </c>
      <c r="AF4" s="6">
        <f t="shared" si="4"/>
        <v>712320</v>
      </c>
      <c r="AG4" s="6">
        <f t="shared" si="5"/>
        <v>5950900</v>
      </c>
      <c r="AH4" s="6">
        <f t="shared" si="6"/>
        <v>707200</v>
      </c>
    </row>
    <row r="5" spans="1:34" x14ac:dyDescent="0.45">
      <c r="A5" s="4">
        <v>45870</v>
      </c>
      <c r="B5" s="6">
        <v>9988570</v>
      </c>
      <c r="C5" s="6">
        <v>429331</v>
      </c>
      <c r="D5" s="6">
        <v>4329300</v>
      </c>
      <c r="F5" s="6">
        <v>298000</v>
      </c>
      <c r="H5" s="6">
        <v>596000</v>
      </c>
      <c r="I5" s="6">
        <v>273000</v>
      </c>
      <c r="J5" s="6">
        <v>2561230</v>
      </c>
      <c r="K5" s="6">
        <v>67100</v>
      </c>
      <c r="L5" s="6">
        <v>99000</v>
      </c>
      <c r="M5" s="6">
        <v>34000</v>
      </c>
      <c r="N5" s="6">
        <v>39656</v>
      </c>
      <c r="O5" s="6">
        <v>1587889</v>
      </c>
      <c r="Q5" s="6">
        <v>648440</v>
      </c>
      <c r="R5" s="6">
        <v>5284000</v>
      </c>
      <c r="T5" s="6">
        <v>22171350</v>
      </c>
      <c r="U5" s="6">
        <v>120000</v>
      </c>
      <c r="V5" s="6">
        <v>5769800</v>
      </c>
      <c r="W5" s="5">
        <v>217200</v>
      </c>
      <c r="AA5" s="6">
        <f t="shared" si="0"/>
        <v>14220030</v>
      </c>
      <c r="AB5" s="6">
        <f t="shared" si="1"/>
        <v>22171350</v>
      </c>
      <c r="AC5" s="6">
        <f t="shared" si="2"/>
        <v>972287</v>
      </c>
      <c r="AE5" s="6">
        <f t="shared" si="3"/>
        <v>9988570</v>
      </c>
      <c r="AF5" s="6">
        <f t="shared" si="4"/>
        <v>2236329</v>
      </c>
      <c r="AG5" s="6">
        <f t="shared" si="5"/>
        <v>4329300</v>
      </c>
      <c r="AH5" s="6">
        <f t="shared" si="6"/>
        <v>596000</v>
      </c>
    </row>
    <row r="6" spans="1:34" x14ac:dyDescent="0.45">
      <c r="A6" s="4">
        <v>45901</v>
      </c>
      <c r="B6" s="6">
        <v>9790310</v>
      </c>
      <c r="C6" s="6">
        <v>324423</v>
      </c>
      <c r="D6" s="6">
        <v>3850900</v>
      </c>
      <c r="F6" s="6">
        <v>180000</v>
      </c>
      <c r="H6" s="6">
        <v>622800</v>
      </c>
      <c r="I6" s="6">
        <v>88000</v>
      </c>
      <c r="J6" s="6">
        <v>2597780</v>
      </c>
      <c r="K6" s="6">
        <v>67100</v>
      </c>
      <c r="L6" s="6">
        <v>99000</v>
      </c>
      <c r="M6" s="6">
        <v>68000</v>
      </c>
      <c r="N6" s="6">
        <v>39424</v>
      </c>
      <c r="O6" s="6">
        <v>1335013</v>
      </c>
      <c r="Q6" s="6">
        <v>670720</v>
      </c>
      <c r="R6" s="6">
        <v>3024000</v>
      </c>
      <c r="T6" s="6">
        <v>17204300</v>
      </c>
      <c r="U6" s="6">
        <v>120000</v>
      </c>
      <c r="V6" s="6">
        <v>5233260</v>
      </c>
      <c r="W6" s="6">
        <v>190000</v>
      </c>
      <c r="X6" s="6">
        <f>94000+36000</f>
        <v>130000</v>
      </c>
      <c r="AA6" s="6">
        <f t="shared" si="0"/>
        <v>11191040</v>
      </c>
      <c r="AB6" s="6">
        <f t="shared" si="1"/>
        <v>17204300</v>
      </c>
      <c r="AC6" s="6">
        <f t="shared" si="2"/>
        <v>969947</v>
      </c>
      <c r="AE6" s="6">
        <f t="shared" si="3"/>
        <v>9790310</v>
      </c>
      <c r="AF6" s="6">
        <f t="shared" si="4"/>
        <v>2005733</v>
      </c>
      <c r="AG6" s="6">
        <f t="shared" si="5"/>
        <v>3850900</v>
      </c>
      <c r="AH6" s="6">
        <f t="shared" si="6"/>
        <v>622800</v>
      </c>
    </row>
    <row r="7" spans="1:34" x14ac:dyDescent="0.45">
      <c r="A7" s="4">
        <v>45931</v>
      </c>
      <c r="B7" s="6">
        <v>8236780</v>
      </c>
      <c r="C7" s="6">
        <v>352055</v>
      </c>
      <c r="D7" s="6">
        <v>3412300</v>
      </c>
      <c r="F7" s="6">
        <v>180000</v>
      </c>
      <c r="H7" s="6">
        <v>507000</v>
      </c>
      <c r="J7" s="6">
        <v>2293320</v>
      </c>
      <c r="K7" s="6">
        <v>67100</v>
      </c>
      <c r="L7" s="6">
        <v>99000</v>
      </c>
      <c r="M7" s="6">
        <v>34000</v>
      </c>
      <c r="N7" s="6">
        <v>40405</v>
      </c>
      <c r="O7" s="6">
        <v>1170400</v>
      </c>
      <c r="Q7" s="6">
        <v>484640</v>
      </c>
      <c r="R7" s="6">
        <v>2320000</v>
      </c>
      <c r="S7" s="6">
        <v>110980</v>
      </c>
      <c r="T7" s="6">
        <v>18094250</v>
      </c>
      <c r="U7" s="6">
        <v>120000</v>
      </c>
      <c r="V7" s="6">
        <v>4462730</v>
      </c>
      <c r="W7" s="6">
        <v>154800</v>
      </c>
      <c r="X7" s="6">
        <f>94000+36000</f>
        <v>130000</v>
      </c>
      <c r="AA7" s="6">
        <f t="shared" si="0"/>
        <v>9401030</v>
      </c>
      <c r="AB7" s="6">
        <f t="shared" si="1"/>
        <v>18094250</v>
      </c>
      <c r="AC7" s="6">
        <f t="shared" si="2"/>
        <v>963360</v>
      </c>
      <c r="AE7" s="6">
        <f t="shared" si="3"/>
        <v>8236780</v>
      </c>
      <c r="AF7" s="6">
        <f t="shared" si="4"/>
        <v>1655040</v>
      </c>
      <c r="AG7" s="6">
        <f t="shared" si="5"/>
        <v>3412300</v>
      </c>
      <c r="AH7" s="6">
        <f t="shared" si="6"/>
        <v>507000</v>
      </c>
    </row>
    <row r="8" spans="1:34" x14ac:dyDescent="0.45">
      <c r="A8" s="4">
        <v>45962</v>
      </c>
      <c r="B8" s="6">
        <v>7333800</v>
      </c>
      <c r="C8" s="6">
        <v>271227</v>
      </c>
      <c r="D8" s="6">
        <v>2835400</v>
      </c>
      <c r="F8" s="5">
        <v>90000</v>
      </c>
      <c r="H8" s="5">
        <v>427600</v>
      </c>
      <c r="I8" s="5">
        <v>88000</v>
      </c>
      <c r="J8" s="5">
        <v>2501350</v>
      </c>
      <c r="K8" s="6">
        <v>67100</v>
      </c>
      <c r="L8" s="6">
        <v>99000</v>
      </c>
      <c r="M8" s="5"/>
      <c r="N8" s="5">
        <v>39487</v>
      </c>
      <c r="O8" s="5">
        <v>1205309</v>
      </c>
      <c r="R8" s="5">
        <v>1532000</v>
      </c>
      <c r="S8" s="5">
        <v>430220</v>
      </c>
      <c r="T8" s="5">
        <v>17006250</v>
      </c>
      <c r="V8" s="5">
        <v>5004100</v>
      </c>
      <c r="W8" s="5">
        <v>146800</v>
      </c>
      <c r="AA8" s="6">
        <f t="shared" si="0"/>
        <v>9645670</v>
      </c>
      <c r="AB8" s="6">
        <f t="shared" si="1"/>
        <v>17006250</v>
      </c>
      <c r="AC8" s="6">
        <f t="shared" si="2"/>
        <v>623614</v>
      </c>
      <c r="AE8" s="6">
        <f t="shared" si="3"/>
        <v>7333800</v>
      </c>
      <c r="AF8" s="6">
        <f t="shared" si="4"/>
        <v>1205309</v>
      </c>
      <c r="AG8" s="6">
        <f t="shared" si="5"/>
        <v>2835400</v>
      </c>
      <c r="AH8" s="6">
        <f t="shared" si="6"/>
        <v>427600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selection activeCell="I2" sqref="I2"/>
    </sheetView>
  </sheetViews>
  <sheetFormatPr defaultRowHeight="17" x14ac:dyDescent="0.45"/>
  <cols>
    <col min="1" max="1" width="17.75" style="1" bestFit="1" customWidth="1"/>
    <col min="2" max="5" width="6.1640625" bestFit="1" customWidth="1"/>
    <col min="6" max="6" width="8" bestFit="1" customWidth="1"/>
    <col min="7" max="7" width="6.1640625" bestFit="1" customWidth="1"/>
    <col min="8" max="8" width="11.08203125" bestFit="1" customWidth="1"/>
    <col min="9" max="9" width="10.6640625" bestFit="1" customWidth="1"/>
    <col min="10" max="10" width="6.1640625" bestFit="1" customWidth="1"/>
    <col min="11" max="11" width="5.5" bestFit="1" customWidth="1"/>
  </cols>
  <sheetData>
    <row r="1" spans="1:11" x14ac:dyDescent="0.45">
      <c r="A1" s="1" t="s">
        <v>8</v>
      </c>
      <c r="B1" t="s">
        <v>0</v>
      </c>
      <c r="C1" t="s">
        <v>1</v>
      </c>
      <c r="D1" t="s">
        <v>2</v>
      </c>
      <c r="E1" t="s">
        <v>9</v>
      </c>
      <c r="F1" t="s">
        <v>10</v>
      </c>
      <c r="G1" t="s">
        <v>11</v>
      </c>
      <c r="H1" t="s">
        <v>4</v>
      </c>
      <c r="I1" t="s">
        <v>12</v>
      </c>
      <c r="J1" t="s">
        <v>6</v>
      </c>
      <c r="K1" t="s">
        <v>7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A8" sqref="A8"/>
    </sheetView>
  </sheetViews>
  <sheetFormatPr defaultRowHeight="17" x14ac:dyDescent="0.45"/>
  <cols>
    <col min="1" max="1" width="55.25" customWidth="1"/>
    <col min="2" max="2" width="43" customWidth="1"/>
  </cols>
  <sheetData>
    <row r="1" spans="1:2" x14ac:dyDescent="0.45">
      <c r="A1" t="s">
        <v>16</v>
      </c>
    </row>
    <row r="2" spans="1:2" x14ac:dyDescent="0.45">
      <c r="A2" s="3" t="s">
        <v>17</v>
      </c>
    </row>
    <row r="3" spans="1:2" x14ac:dyDescent="0.45">
      <c r="A3" s="3" t="s">
        <v>18</v>
      </c>
    </row>
    <row r="4" spans="1:2" x14ac:dyDescent="0.45">
      <c r="A4" t="s">
        <v>19</v>
      </c>
    </row>
    <row r="5" spans="1:2" x14ac:dyDescent="0.45">
      <c r="A5" t="s">
        <v>20</v>
      </c>
    </row>
    <row r="7" spans="1:2" x14ac:dyDescent="0.45">
      <c r="A7" t="s">
        <v>13</v>
      </c>
      <c r="B7" t="s">
        <v>14</v>
      </c>
    </row>
    <row r="8" spans="1:2" ht="409.5" x14ac:dyDescent="0.45">
      <c r="A8" s="2" t="s">
        <v>21</v>
      </c>
      <c r="B8" s="2" t="s">
        <v>15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초가짚_일괄등록</vt:lpstr>
      <vt:lpstr>초가짚_계산서 RAW 데이터</vt:lpstr>
      <vt:lpstr>양은이네_일괄등록</vt:lpstr>
      <vt:lpstr>실행방법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2025-12-11T02:26:05Z</dcterms:created>
  <dcterms:modified xsi:type="dcterms:W3CDTF">2025-12-12T00:17:29Z</dcterms:modified>
</cp:coreProperties>
</file>